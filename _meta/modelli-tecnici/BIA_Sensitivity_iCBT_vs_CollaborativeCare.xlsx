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_Riepilogo" sheetId="1" state="visible" r:id="rId3"/>
    <sheet name="Parametri_Base" sheetId="2" state="visible" r:id="rId4"/>
    <sheet name="Tornado_Deterministica" sheetId="3" state="visible" r:id="rId5"/>
    <sheet name="MonteCarlo_Probabilistica" sheetId="4" state="visible" r:id="rId6"/>
    <sheet name="Matrice_Incertezz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<sst xmlns="http://schemas.openxmlformats.org/spreadsheetml/2006/main" count="305" uniqueCount="241">
  <si>
    <t xml:space="preserve">BIA SENSITIVITY ANALYSIS — iCBT vs Collaborative Care</t>
  </si>
  <si>
    <t xml:space="preserve">Budget Impact Analysis | Orizzonte 5 anni | Popolazione 500.000 assistiti | Aggiornare i parametri nel foglio Parametri_Base</t>
  </si>
  <si>
    <t xml:space="preserve">RISULTATI CHIAVE</t>
  </si>
  <si>
    <t xml:space="preserve">Risparmio Netto
Caso Base (5 anni)</t>
  </si>
  <si>
    <t xml:space="preserve">Media MC
(1.000 iter.)</t>
  </si>
  <si>
    <t xml:space="preserve">IC 90%
[5°–95° perc.]</t>
  </si>
  <si>
    <t xml:space="preserve">Pr(risparmio&gt;0)</t>
  </si>
  <si>
    <t xml:space="preserve">Variabile più
influente</t>
  </si>
  <si>
    <t xml:space="preserve">€ 234.6M</t>
  </si>
  <si>
    <t xml:space="preserve">€ 236.7M</t>
  </si>
  <si>
    <t xml:space="preserve">€152.5M–€350.2M</t>
  </si>
  <si>
    <t xml:space="preserve">100%</t>
  </si>
  <si>
    <t xml:space="preserve">Costo CC (r=0.81)</t>
  </si>
  <si>
    <t xml:space="preserve">RIEPILOGO METODOLOGICO</t>
  </si>
  <si>
    <t xml:space="preserve">Foglio</t>
  </si>
  <si>
    <t xml:space="preserve">Metodo</t>
  </si>
  <si>
    <t xml:space="preserve">Variabili chiave</t>
  </si>
  <si>
    <t xml:space="preserve">Output principale</t>
  </si>
  <si>
    <t xml:space="preserve">Grafico</t>
  </si>
  <si>
    <t xml:space="preserve">Parametri_Base</t>
  </si>
  <si>
    <t xml:space="preserve">Modello deterministico</t>
  </si>
  <si>
    <t xml:space="preserve">Tutti i parametri</t>
  </si>
  <si>
    <t xml:space="preserve">Proiezione costi 5 anni</t>
  </si>
  <si>
    <t xml:space="preserve">—</t>
  </si>
  <si>
    <t xml:space="preserve">Tornado_Deterministica</t>
  </si>
  <si>
    <t xml:space="preserve">Sensibilità ±20%</t>
  </si>
  <si>
    <t xml:space="preserve">7 variabili</t>
  </si>
  <si>
    <t xml:space="preserve">Range impatto univariato</t>
  </si>
  <si>
    <t xml:space="preserve">Tornado Chart</t>
  </si>
  <si>
    <t xml:space="preserve">MonteCarlo_Probabilistica</t>
  </si>
  <si>
    <t xml:space="preserve">Simulazione stocastica</t>
  </si>
  <si>
    <t xml:space="preserve">Distr. Beta + Gamma</t>
  </si>
  <si>
    <t xml:space="preserve">Risparmio prob. 5 anni</t>
  </si>
  <si>
    <t xml:space="preserve">Istogramma MC</t>
  </si>
  <si>
    <t xml:space="preserve">Matrice_Incertezza</t>
  </si>
  <si>
    <t xml:space="preserve">Correlazione + Grid</t>
  </si>
  <si>
    <t xml:space="preserve">Pearson r, Spearman ρ</t>
  </si>
  <si>
    <t xml:space="preserve">Matr. corr + grid bivar.</t>
  </si>
  <si>
    <t xml:space="preserve">Heat-map</t>
  </si>
  <si>
    <t xml:space="preserve">NOTE INTERPRETATIVE</t>
  </si>
  <si>
    <t xml:space="preserve">1. ANALISI DETERMINISTICA: ogni variabile è variata del ±20% isolatamente. Il costo unitario di Collaborative Care ha l'impatto più elevato (tornado rank #1).</t>
  </si>
  <si>
    <t xml:space="preserve">2. ANALISI PROBABILISTICA: distribuzione Beta per le probabilità (incidenza, penetrazione, remissione); distribuzione Gamma per i costi (CV=20%). 1.000 iterazioni.</t>
  </si>
  <si>
    <t xml:space="preserve">3. MATRICE DI INCERTEZZA: il Costo CC ha la correlazione più alta con il risparmio netto (Pearson r = 0.81). La penetrazione iCBT anno 5 è il secondo driver.</t>
  </si>
  <si>
    <t xml:space="preserve">4. GRID BIVARIATA: permette di leggere direttamente il risparmio netto 5 anni per combinazioni di Costo CC × Penetrazione iCBT anno 5.</t>
  </si>
  <si>
    <t xml:space="preserve">5. CELLE GIALLE nel foglio Parametri_Base sono modificabili: tutti i calcoli si aggiornano automaticamente tramite le formule collegate.</t>
  </si>
  <si>
    <t xml:space="preserve">BIA SENSITIVITY MODEL — iCBT vs Collaborative Care</t>
  </si>
  <si>
    <t xml:space="preserve">Parametri Base &amp; Assunzioni (orizzonte 5 anni) — Celle gialle = input modificabili</t>
  </si>
  <si>
    <t xml:space="preserve">A. POPOLAZIONE TARGET</t>
  </si>
  <si>
    <t xml:space="preserve">Parametro</t>
  </si>
  <si>
    <t xml:space="preserve">Valore Base</t>
  </si>
  <si>
    <t xml:space="preserve">Unità</t>
  </si>
  <si>
    <t xml:space="preserve">Note</t>
  </si>
  <si>
    <t xml:space="preserve">Popolazione totale assicurata</t>
  </si>
  <si>
    <t xml:space="preserve">persone</t>
  </si>
  <si>
    <t xml:space="preserve">Bacino target dell'analisi</t>
  </si>
  <si>
    <t xml:space="preserve">Incidenza annua disturbi d'ansia/dep.</t>
  </si>
  <si>
    <t xml:space="preserve">%</t>
  </si>
  <si>
    <t xml:space="preserve">% della popolazione con nuovi casi/anno</t>
  </si>
  <si>
    <t xml:space="preserve">% eleggibili a trattamento psico.</t>
  </si>
  <si>
    <t xml:space="preserve">Quota che accede a trattamento strutturato</t>
  </si>
  <si>
    <t xml:space="preserve">Tasso di penetrazione iCBT (anno 1)</t>
  </si>
  <si>
    <t xml:space="preserve">Share iCBT su eleggibili — anno 1</t>
  </si>
  <si>
    <t xml:space="preserve">Tasso di penetrazione iCBT (anno 5)</t>
  </si>
  <si>
    <t xml:space="preserve">Share iCBT su eleggibili — anno 5 (target)</t>
  </si>
  <si>
    <t xml:space="preserve">Tasso di penetrazione Collab. Care</t>
  </si>
  <si>
    <t xml:space="preserve">Quota residua in Collaborative Care</t>
  </si>
  <si>
    <t xml:space="preserve">B. COSTI UNITARI</t>
  </si>
  <si>
    <t xml:space="preserve">Voce di Costo</t>
  </si>
  <si>
    <t xml:space="preserve">iCBT (€)</t>
  </si>
  <si>
    <t xml:space="preserve">Collaborative Care (€)</t>
  </si>
  <si>
    <t xml:space="preserve">Fonte</t>
  </si>
  <si>
    <t xml:space="preserve">Costo per paziente trattato</t>
  </si>
  <si>
    <t xml:space="preserve">Stime NHS / letteratura</t>
  </si>
  <si>
    <t xml:space="preserve">Costo setup/licenza piattaforma</t>
  </si>
  <si>
    <t xml:space="preserve">Una tantum — ripartito su pop.</t>
  </si>
  <si>
    <t xml:space="preserve">Formazione clinici</t>
  </si>
  <si>
    <t xml:space="preserve">Ore staff per caso</t>
  </si>
  <si>
    <t xml:space="preserve">Supervisione clinica</t>
  </si>
  <si>
    <t xml:space="preserve">Supervisione per paziente</t>
  </si>
  <si>
    <t xml:space="preserve">Costo gestione ricadute</t>
  </si>
  <si>
    <t xml:space="preserve">Costo medio recidiva 24 mesi</t>
  </si>
  <si>
    <t xml:space="preserve">Costo indiretto (produttività)</t>
  </si>
  <si>
    <t xml:space="preserve">Giornate lavorative perse</t>
  </si>
  <si>
    <t xml:space="preserve">C. PARAMETRI DI EFFICACIA</t>
  </si>
  <si>
    <t xml:space="preserve">iCBT</t>
  </si>
  <si>
    <t xml:space="preserve">Collaborative Care</t>
  </si>
  <si>
    <t xml:space="preserve">Distribuzione (MC)</t>
  </si>
  <si>
    <t xml:space="preserve">Tasso di remissione (%)</t>
  </si>
  <si>
    <t xml:space="preserve">Beta(α, β)</t>
  </si>
  <si>
    <t xml:space="preserve">Tasso di drop-out (%)</t>
  </si>
  <si>
    <t xml:space="preserve">Tasso di ricaduta a 12 mesi (%)</t>
  </si>
  <si>
    <t xml:space="preserve">Qualità della vita (QALYs gain)</t>
  </si>
  <si>
    <t xml:space="preserve">Gamma(k, θ)</t>
  </si>
  <si>
    <t xml:space="preserve">D. PROIEZIONE POPOLAZIONE &amp; COSTI — 5 ANNI</t>
  </si>
  <si>
    <t xml:space="preserve">Metrica</t>
  </si>
  <si>
    <t xml:space="preserve">Anno 1</t>
  </si>
  <si>
    <t xml:space="preserve">Anno 2</t>
  </si>
  <si>
    <t xml:space="preserve">Anno 3</t>
  </si>
  <si>
    <t xml:space="preserve">Anno 4</t>
  </si>
  <si>
    <t xml:space="preserve">Anno 5</t>
  </si>
  <si>
    <t xml:space="preserve">Pazienti eleggibili</t>
  </si>
  <si>
    <t xml:space="preserve">Pazienti iCBT</t>
  </si>
  <si>
    <t xml:space="preserve">Pazienti Collaborative Care</t>
  </si>
  <si>
    <t xml:space="preserve">Costo totale iCBT (€)</t>
  </si>
  <si>
    <t xml:space="preserve">Costo totale Collab. Care (€)</t>
  </si>
  <si>
    <t xml:space="preserve">Risparmio netto (€)</t>
  </si>
  <si>
    <t xml:space="preserve">Risparmio cumulato (€)</t>
  </si>
  <si>
    <t xml:space="preserve">ANALISI DETERMINISTICA UNIDIREZIONALE — TORNADO CHART (variazioni ±20%)</t>
  </si>
  <si>
    <t xml:space="preserve">Analisi dell'impatto di ciascun parametro sul risparmio netto totale (5 anni) — ceteris paribus</t>
  </si>
  <si>
    <t xml:space="preserve">TABELLA SENSIBILITÀ — RISPARMIO NETTO 5 ANNI (€)</t>
  </si>
  <si>
    <t xml:space="preserve">Variabile</t>
  </si>
  <si>
    <t xml:space="preserve">Base (€)</t>
  </si>
  <si>
    <t xml:space="preserve">−20% (€)</t>
  </si>
  <si>
    <t xml:space="preserve">+20% (€)</t>
  </si>
  <si>
    <t xml:space="preserve">Range (€)</t>
  </si>
  <si>
    <t xml:space="preserve">Impatto %</t>
  </si>
  <si>
    <t xml:space="preserve">Direzione</t>
  </si>
  <si>
    <t xml:space="preserve">Costo unitario — Collaborative Care</t>
  </si>
  <si>
    <t xml:space="preserve">↑ più risparmio</t>
  </si>
  <si>
    <t xml:space="preserve">Incidenza annua disturbi</t>
  </si>
  <si>
    <t xml:space="preserve">Popolazione assicurata</t>
  </si>
  <si>
    <t xml:space="preserve">% eleggibili a trattamento</t>
  </si>
  <si>
    <t xml:space="preserve">Tasso penetrazione iCBT (anno 5)</t>
  </si>
  <si>
    <t xml:space="preserve">↓ meno risparmio</t>
  </si>
  <si>
    <t xml:space="preserve">Tasso penetrazione iCBT (anno 1)</t>
  </si>
  <si>
    <t xml:space="preserve">Costo unitario — iCBT</t>
  </si>
  <si>
    <t xml:space="preserve">ℹ  Valori positivi = risparmio netto per il pagante; variabili ordinate per ampiezza dell'impatto (Tornado). Base case: €234,570,000</t>
  </si>
  <si>
    <t xml:space="preserve">TORNADO CHART — Impatto delle variabili sul Risparmio Netto (€)</t>
  </si>
  <si>
    <t xml:space="preserve">Dev. -20% (€)</t>
  </si>
  <si>
    <t xml:space="preserve">Dev. +20% (€)</t>
  </si>
  <si>
    <t xml:space="preserve">SIMULAZIONE MONTE CARLO — 1.000 iterazioni (distribuzioni Beta e Gamma)</t>
  </si>
  <si>
    <t xml:space="preserve">Probabilità → Distribuzione Beta | Costi → Distribuzione Gamma | Risparmio = CC_cost − iCBT_cost su 5 anni</t>
  </si>
  <si>
    <t xml:space="preserve">PARAMETRI DELLE DISTRIBUZIONI</t>
  </si>
  <si>
    <t xml:space="preserve">Distribuzione</t>
  </si>
  <si>
    <t xml:space="preserve">Param 1</t>
  </si>
  <si>
    <t xml:space="preserve">Param 2</t>
  </si>
  <si>
    <t xml:space="preserve">Media</t>
  </si>
  <si>
    <t xml:space="preserve">Std Dev</t>
  </si>
  <si>
    <t xml:space="preserve">Tipo</t>
  </si>
  <si>
    <t xml:space="preserve">Incidenza disturbi (%)</t>
  </si>
  <si>
    <t xml:space="preserve">Beta</t>
  </si>
  <si>
    <t xml:space="preserve">α = 40.81</t>
  </si>
  <si>
    <t xml:space="preserve">β = 469.3</t>
  </si>
  <si>
    <t xml:space="preserve">Penetrazione iCBT anno 1 (%)</t>
  </si>
  <si>
    <t xml:space="preserve">α = 22.4</t>
  </si>
  <si>
    <t xml:space="preserve">β = 201.6</t>
  </si>
  <si>
    <t xml:space="preserve">Penetrazione iCBT anno 5 (%)</t>
  </si>
  <si>
    <t xml:space="preserve">α = 29.05</t>
  </si>
  <si>
    <t xml:space="preserve">β = 87.14</t>
  </si>
  <si>
    <t xml:space="preserve">Costo unitario iCBT (€/paz.)</t>
  </si>
  <si>
    <t xml:space="preserve">Gamma</t>
  </si>
  <si>
    <t xml:space="preserve">k = 25.0</t>
  </si>
  <si>
    <t xml:space="preserve">θ = 28.4</t>
  </si>
  <si>
    <t xml:space="preserve">Costo unitario CC (€/paz.)</t>
  </si>
  <si>
    <t xml:space="preserve">θ = 100.8</t>
  </si>
  <si>
    <t xml:space="preserve">Tasso remissione iCBT (%)</t>
  </si>
  <si>
    <t xml:space="preserve">α = 29.53</t>
  </si>
  <si>
    <t xml:space="preserve">β = 15.9</t>
  </si>
  <si>
    <t xml:space="preserve">Tasso remissione CC (%)</t>
  </si>
  <si>
    <t xml:space="preserve">α = 37.26</t>
  </si>
  <si>
    <t xml:space="preserve">β = 30.49</t>
  </si>
  <si>
    <t xml:space="preserve">STATISTICHE DEL RISPARMIO NETTO 5 ANNI (€) — RISULTATI SIMULAZIONE</t>
  </si>
  <si>
    <t xml:space="preserve">Statistica</t>
  </si>
  <si>
    <t xml:space="preserve">Valore (€)</t>
  </si>
  <si>
    <t xml:space="preserve">Mediana</t>
  </si>
  <si>
    <t xml:space="preserve">Dev. Standard</t>
  </si>
  <si>
    <t xml:space="preserve">Min</t>
  </si>
  <si>
    <t xml:space="preserve">Max</t>
  </si>
  <si>
    <t xml:space="preserve">5° percentile</t>
  </si>
  <si>
    <t xml:space="preserve">25° percentile</t>
  </si>
  <si>
    <t xml:space="preserve">75° percentile</t>
  </si>
  <si>
    <t xml:space="preserve">95° percentile</t>
  </si>
  <si>
    <t xml:space="preserve">Pr(risparmio &gt; 0)</t>
  </si>
  <si>
    <t xml:space="preserve">IC 90% lower</t>
  </si>
  <si>
    <t xml:space="preserve">IC 90% upper</t>
  </si>
  <si>
    <t xml:space="preserve">DISTRIBUZIONE DEL RISPARMIO NETTO — Dati per Istogramma (20 bins)</t>
  </si>
  <si>
    <t xml:space="preserve">Bin Centro (€)</t>
  </si>
  <si>
    <t xml:space="preserve">Frequenza</t>
  </si>
  <si>
    <t xml:space="preserve">Freq. Relativa %</t>
  </si>
  <si>
    <t xml:space="preserve">Freq. Cumulata %</t>
  </si>
  <si>
    <t xml:space="preserve">DATI SIMULAZIONE (prime 100 iterazioni su 1.000)</t>
  </si>
  <si>
    <t xml:space="preserve">Iter.</t>
  </si>
  <si>
    <t xml:space="preserve">Incidenza</t>
  </si>
  <si>
    <t xml:space="preserve">Pen. Y1</t>
  </si>
  <si>
    <t xml:space="preserve">Pen. Y5</t>
  </si>
  <si>
    <t xml:space="preserve">Cost iCBT</t>
  </si>
  <si>
    <t xml:space="preserve">Cost CC</t>
  </si>
  <si>
    <t xml:space="preserve">Rem. iCBT</t>
  </si>
  <si>
    <t xml:space="preserve">Rem. CC</t>
  </si>
  <si>
    <t xml:space="preserve">Risparmio 5Y (€)</t>
  </si>
  <si>
    <t xml:space="preserve">MATRICE DI INCERTEZZA — Correlazione Variabili vs Variabilità Risparmio Netto (5 anni)</t>
  </si>
  <si>
    <t xml:space="preserve">Pearson r e Spearman ρ — campione Monte Carlo N=1.000 | r &gt; 0.5 = forte influenza positiva | r &lt; −0.5 = forte influenza negativa</t>
  </si>
  <si>
    <t xml:space="preserve">A. CORRELAZIONE SINGOLA VARIABILE → RISPARMIO NETTO 5 ANNI</t>
  </si>
  <si>
    <t xml:space="preserve">Pearson r</t>
  </si>
  <si>
    <t xml:space="preserve">p-value</t>
  </si>
  <si>
    <t xml:space="preserve">Spearman ρ</t>
  </si>
  <si>
    <t xml:space="preserve">p-value (S)</t>
  </si>
  <si>
    <t xml:space="preserve">R² parziale</t>
  </si>
  <si>
    <t xml:space="preserve">Impatto</t>
  </si>
  <si>
    <t xml:space="preserve">Cost. CC</t>
  </si>
  <si>
    <t xml:space="preserve">★★★ Alta</t>
  </si>
  <si>
    <t xml:space="preserve">Positivo ↑</t>
  </si>
  <si>
    <t xml:space="preserve">Penetr. Y1</t>
  </si>
  <si>
    <t xml:space="preserve">★ Bassa</t>
  </si>
  <si>
    <t xml:space="preserve">Negativo ↓</t>
  </si>
  <si>
    <t xml:space="preserve">Penetr. Y5</t>
  </si>
  <si>
    <t xml:space="preserve">Cost. iCBT</t>
  </si>
  <si>
    <t xml:space="preserve">Verde = influenza positiva alta sul risparmio | Rosso = influenza negativa alta | Bianco = influenza media/bassa</t>
  </si>
  <si>
    <t xml:space="preserve">B. MATRICE DI CORRELAZIONE INCROCIATA TRA LE VARIABILI (Pearson)</t>
  </si>
  <si>
    <t xml:space="preserve">C. VARIABILITÀ DEL RISPARMIO NETTO PER SCENARIO — Analisi Percentilare</t>
  </si>
  <si>
    <t xml:space="preserve">Scenario</t>
  </si>
  <si>
    <t xml:space="preserve">Percentile</t>
  </si>
  <si>
    <t xml:space="preserve">Risparmio Netto (€)</t>
  </si>
  <si>
    <t xml:space="preserve">Δ vs Caso Base (€)</t>
  </si>
  <si>
    <t xml:space="preserve">Δ %</t>
  </si>
  <si>
    <t xml:space="preserve">Interpretazione</t>
  </si>
  <si>
    <t xml:space="preserve">Pessimistico (worst)</t>
  </si>
  <si>
    <t xml:space="preserve">Scenario avverso (costi iCBT elevati, bassa penetrazione)</t>
  </si>
  <si>
    <t xml:space="preserve">Sfavorevole</t>
  </si>
  <si>
    <t xml:space="preserve">Stima conservativa — margine di sicurezza sufficiente</t>
  </si>
  <si>
    <t xml:space="preserve">Caso Base</t>
  </si>
  <si>
    <t xml:space="preserve">Stima centrale — base per decisione di policy</t>
  </si>
  <si>
    <t xml:space="preserve">Favorevole</t>
  </si>
  <si>
    <t xml:space="preserve">Scenario favorevole — accelerazione adozione iCBT</t>
  </si>
  <si>
    <t xml:space="preserve">Ottimistico (best)</t>
  </si>
  <si>
    <t xml:space="preserve">Scenario ottimistico — piena penetrazione, massima efficienza</t>
  </si>
  <si>
    <t xml:space="preserve">D. GRIGLIA DI SENSIBILITÀ BIVARIATA — Costo CC (asse X) × Penetrazione iCBT Y5 (asse Y)</t>
  </si>
  <si>
    <t xml:space="preserve">Risparmio Netto 5 Anni (€M) — variando simultaneamente Costo CC e Penetrazione iCBT anno 5 (ceteris paribus)</t>
  </si>
  <si>
    <t xml:space="preserve">Pen.Y5 \ Cost.CC</t>
  </si>
  <si>
    <t xml:space="preserve">€1,800</t>
  </si>
  <si>
    <t xml:space="preserve">€2,000</t>
  </si>
  <si>
    <t xml:space="preserve">€2,200</t>
  </si>
  <si>
    <t xml:space="preserve">€2,520</t>
  </si>
  <si>
    <t xml:space="preserve">€2,800</t>
  </si>
  <si>
    <t xml:space="preserve">€3,000</t>
  </si>
  <si>
    <t xml:space="preserve">€3,200</t>
  </si>
  <si>
    <t xml:space="preserve">15%</t>
  </si>
  <si>
    <t xml:space="preserve">20%</t>
  </si>
  <si>
    <t xml:space="preserve">25%</t>
  </si>
  <si>
    <t xml:space="preserve">30%</t>
  </si>
  <si>
    <t xml:space="preserve">35%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</si>
</sst>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\€#,##0"/>
    <numFmt numFmtId="168" formatCode="0.00%"/>
    <numFmt numFmtId="169" formatCode="0.000"/>
    <numFmt numFmtId="170" formatCode="\€#,##0.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0"/>
      <charset val="1"/>
    </font>
    <font>
      <sz val="10"/>
      <color rgb="FF7A39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3"/>
      <color rgb="FF20808D"/>
      <name val="Calibri"/>
      <family val="0"/>
      <charset val="1"/>
    </font>
    <font>
      <b val="true"/>
      <sz val="13"/>
      <color rgb="FFA84B2F"/>
      <name val="Calibri"/>
      <family val="0"/>
      <charset val="1"/>
    </font>
    <font>
      <b val="true"/>
      <sz val="13"/>
      <color rgb="FF437A22"/>
      <name val="Calibri"/>
      <family val="0"/>
      <charset val="1"/>
    </font>
    <font>
      <b val="true"/>
      <sz val="13"/>
      <color rgb="FF1B474D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sz val="9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10"/>
      <color rgb="FF7A3900"/>
      <name val="Calibri"/>
      <family val="0"/>
      <charset val="1"/>
    </font>
    <font>
      <b val="true"/>
      <sz val="10"/>
      <color rgb="FF437A22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i val="true"/>
      <sz val="10"/>
      <name val="Calibri"/>
      <family val="0"/>
      <charset val="1"/>
    </font>
    <font>
      <i val="true"/>
      <sz val="9"/>
      <color rgb="FF7A7974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9"/>
      <name val="Calibri"/>
      <family val="0"/>
      <charset val="1"/>
    </font>
    <font>
      <b val="true"/>
      <sz val="11"/>
      <color rgb="FF20808D"/>
      <name val="Calibri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B474D"/>
        <bgColor rgb="FF003366"/>
      </patternFill>
    </fill>
    <fill>
      <patternFill patternType="solid">
        <fgColor rgb="FFFFC553"/>
        <bgColor rgb="FFFFE4B5"/>
      </patternFill>
    </fill>
    <fill>
      <patternFill patternType="solid">
        <fgColor rgb="FF20808D"/>
        <bgColor rgb="FF008080"/>
      </patternFill>
    </fill>
    <fill>
      <patternFill patternType="solid">
        <fgColor rgb="FFA84B2F"/>
        <bgColor rgb="FFA13544"/>
      </patternFill>
    </fill>
    <fill>
      <patternFill patternType="solid">
        <fgColor rgb="FF437A22"/>
        <bgColor rgb="FF808000"/>
      </patternFill>
    </fill>
    <fill>
      <patternFill patternType="solid">
        <fgColor rgb="FFF5F5F5"/>
        <bgColor rgb="FFFFFFFF"/>
      </patternFill>
    </fill>
    <fill>
      <patternFill patternType="solid">
        <fgColor rgb="FFBCE2E7"/>
        <bgColor rgb="FFA8E6CF"/>
      </patternFill>
    </fill>
    <fill>
      <patternFill patternType="solid">
        <fgColor rgb="FFFFFFFF"/>
        <bgColor rgb="FFF5F5F5"/>
      </patternFill>
    </fill>
    <fill>
      <patternFill patternType="solid">
        <fgColor rgb="FFC6EFCE"/>
        <bgColor rgb="FFBCE2E7"/>
      </patternFill>
    </fill>
    <fill>
      <patternFill patternType="solid">
        <fgColor rgb="FFFFC7CE"/>
        <bgColor rgb="FFFFE4B5"/>
      </patternFill>
    </fill>
    <fill>
      <patternFill patternType="solid">
        <fgColor rgb="FFFFE4B5"/>
        <bgColor rgb="FFFFFFC0"/>
      </patternFill>
    </fill>
    <fill>
      <patternFill patternType="solid">
        <fgColor rgb="FFA8E6CF"/>
        <bgColor rgb="FFBCE2E7"/>
      </patternFill>
    </fill>
    <fill>
      <patternFill patternType="solid">
        <fgColor rgb="FFFFFFC0"/>
        <bgColor rgb="FFF5F5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  <border diagonalUp="false" diagonalDown="false">
      <left style="thin">
        <color rgb="FFD4D1CA"/>
      </left>
      <right/>
      <top style="thin">
        <color rgb="FFD4D1CA"/>
      </top>
      <bottom style="thin">
        <color rgb="FFD4D1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3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3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0808D"/>
      <rgbColor rgb="FFD4D1CA"/>
      <rgbColor rgb="FF878787"/>
      <rgbColor rgb="FF9999FF"/>
      <rgbColor rgb="FFA13544"/>
      <rgbColor rgb="FFFFFFC0"/>
      <rgbColor rgb="FFF5F5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CE2E7"/>
      <rgbColor rgb="FFC6EFCE"/>
      <rgbColor rgb="FFFFE4B5"/>
      <rgbColor rgb="FFA8E6CF"/>
      <rgbColor rgb="FFFF99CC"/>
      <rgbColor rgb="FFCC99FF"/>
      <rgbColor rgb="FFFFC7CE"/>
      <rgbColor rgb="FF3366FF"/>
      <rgbColor rgb="FF33CCCC"/>
      <rgbColor rgb="FF99CC00"/>
      <rgbColor rgb="FFFFC553"/>
      <rgbColor rgb="FFFF9900"/>
      <rgbColor rgb="FFFF6600"/>
      <rgbColor rgb="FF7A7974"/>
      <rgbColor rgb="FF969696"/>
      <rgbColor rgb="FF003366"/>
      <rgbColor rgb="FF437A22"/>
      <rgbColor rgb="FF003300"/>
      <rgbColor rgb="FF333300"/>
      <rgbColor rgb="FF7A3900"/>
      <rgbColor rgb="FFA84B2F"/>
      <rgbColor rgb="FF333399"/>
      <rgbColor rgb="FF1B47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Tornado Chart — Sensibilità del Risparmio Netto BIA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Tornado_Deterministica!C18</c:f>
              <c:strCache>
                <c:ptCount val="1"/>
                <c:pt idx="0">
                  <c:v>Dev. -20% (€)</c:v>
                </c:pt>
              </c:strCache>
            </c:strRef>
          </c:tx>
          <c:spPr>
            <a:solidFill>
              <a:srgbClr val="A13544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Tornado_Deterministica!$B$19:$B$25</c:f>
              <c:strCache>
                <c:ptCount val="7"/>
                <c:pt idx="0">
                  <c:v>Costo unitario — Collaborative Care</c:v>
                </c:pt>
                <c:pt idx="1">
                  <c:v>Incidenza annua disturbi</c:v>
                </c:pt>
                <c:pt idx="2">
                  <c:v>Popolazione assicurata</c:v>
                </c:pt>
                <c:pt idx="3">
                  <c:v>% eleggibili a trattamento</c:v>
                </c:pt>
                <c:pt idx="4">
                  <c:v>Tasso penetrazione iCBT (anno 5)</c:v>
                </c:pt>
                <c:pt idx="5">
                  <c:v>Tasso penetrazione iCBT (anno 1)</c:v>
                </c:pt>
                <c:pt idx="6">
                  <c:v>Costo unitario — iCBT</c:v>
                </c:pt>
              </c:strCache>
            </c:strRef>
          </c:cat>
          <c:val>
            <c:numRef>
              <c:f>Tornado_Deterministica!$C$19:$C$25</c:f>
              <c:numCache>
                <c:formatCode>\€#,##0</c:formatCode>
                <c:ptCount val="7"/>
                <c:pt idx="0">
                  <c:v>-49896000</c:v>
                </c:pt>
                <c:pt idx="1">
                  <c:v>-46914000</c:v>
                </c:pt>
                <c:pt idx="2">
                  <c:v>-46914000</c:v>
                </c:pt>
                <c:pt idx="3">
                  <c:v>-46914000</c:v>
                </c:pt>
                <c:pt idx="4">
                  <c:v>9690000</c:v>
                </c:pt>
                <c:pt idx="5">
                  <c:v>3876000</c:v>
                </c:pt>
                <c:pt idx="6">
                  <c:v>2982000</c:v>
                </c:pt>
              </c:numCache>
            </c:numRef>
          </c:val>
        </c:ser>
        <c:ser>
          <c:idx val="1"/>
          <c:order val="1"/>
          <c:tx>
            <c:strRef>
              <c:f>Tornado_Deterministica!D18</c:f>
              <c:strCache>
                <c:ptCount val="1"/>
                <c:pt idx="0">
                  <c:v>Dev. +20% (€)</c:v>
                </c:pt>
              </c:strCache>
            </c:strRef>
          </c:tx>
          <c:spPr>
            <a:solidFill>
              <a:srgbClr val="20808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Tornado_Deterministica!$B$19:$B$25</c:f>
              <c:strCache>
                <c:ptCount val="7"/>
                <c:pt idx="0">
                  <c:v>Costo unitario — Collaborative Care</c:v>
                </c:pt>
                <c:pt idx="1">
                  <c:v>Incidenza annua disturbi</c:v>
                </c:pt>
                <c:pt idx="2">
                  <c:v>Popolazione assicurata</c:v>
                </c:pt>
                <c:pt idx="3">
                  <c:v>% eleggibili a trattamento</c:v>
                </c:pt>
                <c:pt idx="4">
                  <c:v>Tasso penetrazione iCBT (anno 5)</c:v>
                </c:pt>
                <c:pt idx="5">
                  <c:v>Tasso penetrazione iCBT (anno 1)</c:v>
                </c:pt>
                <c:pt idx="6">
                  <c:v>Costo unitario — iCBT</c:v>
                </c:pt>
              </c:strCache>
            </c:strRef>
          </c:cat>
          <c:val>
            <c:numRef>
              <c:f>Tornado_Deterministica!$D$19:$D$25</c:f>
              <c:numCache>
                <c:formatCode>\€#,##0</c:formatCode>
                <c:ptCount val="7"/>
                <c:pt idx="0">
                  <c:v>49896000</c:v>
                </c:pt>
                <c:pt idx="1">
                  <c:v>46914000</c:v>
                </c:pt>
                <c:pt idx="2">
                  <c:v>46914000</c:v>
                </c:pt>
                <c:pt idx="3">
                  <c:v>46914000</c:v>
                </c:pt>
                <c:pt idx="4">
                  <c:v>-9690000</c:v>
                </c:pt>
                <c:pt idx="5">
                  <c:v>-3876000</c:v>
                </c:pt>
                <c:pt idx="6">
                  <c:v>-2982000</c:v>
                </c:pt>
              </c:numCache>
            </c:numRef>
          </c:val>
        </c:ser>
        <c:gapWidth val="150"/>
        <c:overlap val="0"/>
        <c:axId val="20032550"/>
        <c:axId val="47621397"/>
      </c:barChart>
      <c:catAx>
        <c:axId val="20032550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Deviazione dal Caso Base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7621397"/>
        <c:crosses val="autoZero"/>
        <c:auto val="1"/>
        <c:lblAlgn val="ctr"/>
        <c:lblOffset val="100"/>
        <c:noMultiLvlLbl val="0"/>
      </c:catAx>
      <c:valAx>
        <c:axId val="476213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Variabile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€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003255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Distribuzione del Risparmio Netto (Monte Carlo — 1.000 iter.)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MonteCarlo_Probabilistica!C33</c:f>
              <c:strCache>
                <c:ptCount val="1"/>
                <c:pt idx="0">
                  <c:v>Frequenza</c:v>
                </c:pt>
              </c:strCache>
            </c:strRef>
          </c:tx>
          <c:spPr>
            <a:solidFill>
              <a:srgbClr val="20808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MonteCarlo_Probabilistica!$B$34:$B$53</c:f>
              <c:strCache>
                <c:ptCount val="20"/>
                <c:pt idx="0">
                  <c:v>€107,125,614</c:v>
                </c:pt>
                <c:pt idx="1">
                  <c:v>€129,618,142</c:v>
                </c:pt>
                <c:pt idx="2">
                  <c:v>€152,110,671</c:v>
                </c:pt>
                <c:pt idx="3">
                  <c:v>€174,603,199</c:v>
                </c:pt>
                <c:pt idx="4">
                  <c:v>€197,095,728</c:v>
                </c:pt>
                <c:pt idx="5">
                  <c:v>€219,588,256</c:v>
                </c:pt>
                <c:pt idx="6">
                  <c:v>€242,080,785</c:v>
                </c:pt>
                <c:pt idx="7">
                  <c:v>€264,573,313</c:v>
                </c:pt>
                <c:pt idx="8">
                  <c:v>€287,065,842</c:v>
                </c:pt>
                <c:pt idx="9">
                  <c:v>€309,558,371</c:v>
                </c:pt>
                <c:pt idx="10">
                  <c:v>€332,050,899</c:v>
                </c:pt>
                <c:pt idx="11">
                  <c:v>€354,543,428</c:v>
                </c:pt>
                <c:pt idx="12">
                  <c:v>€377,035,956</c:v>
                </c:pt>
                <c:pt idx="13">
                  <c:v>€399,528,485</c:v>
                </c:pt>
                <c:pt idx="14">
                  <c:v>€422,021,013</c:v>
                </c:pt>
                <c:pt idx="15">
                  <c:v>€444,513,542</c:v>
                </c:pt>
                <c:pt idx="16">
                  <c:v>€467,006,070</c:v>
                </c:pt>
                <c:pt idx="17">
                  <c:v>€489,498,599</c:v>
                </c:pt>
                <c:pt idx="18">
                  <c:v>€511,991,128</c:v>
                </c:pt>
                <c:pt idx="19">
                  <c:v>€534,483,656</c:v>
                </c:pt>
              </c:strCache>
            </c:strRef>
          </c:cat>
          <c:val>
            <c:numRef>
              <c:f>MonteCarlo_Probabilistica!$C$34:$C$53</c:f>
              <c:numCache>
                <c:formatCode>#,##0</c:formatCode>
                <c:ptCount val="20"/>
                <c:pt idx="0">
                  <c:v>7</c:v>
                </c:pt>
                <c:pt idx="1">
                  <c:v>25</c:v>
                </c:pt>
                <c:pt idx="2">
                  <c:v>66</c:v>
                </c:pt>
                <c:pt idx="3">
                  <c:v>103</c:v>
                </c:pt>
                <c:pt idx="4">
                  <c:v>135</c:v>
                </c:pt>
                <c:pt idx="5">
                  <c:v>166</c:v>
                </c:pt>
                <c:pt idx="6">
                  <c:v>153</c:v>
                </c:pt>
                <c:pt idx="7">
                  <c:v>127</c:v>
                </c:pt>
                <c:pt idx="8">
                  <c:v>65</c:v>
                </c:pt>
                <c:pt idx="9">
                  <c:v>57</c:v>
                </c:pt>
                <c:pt idx="10">
                  <c:v>37</c:v>
                </c:pt>
                <c:pt idx="11">
                  <c:v>27</c:v>
                </c:pt>
                <c:pt idx="12">
                  <c:v>15</c:v>
                </c:pt>
                <c:pt idx="13">
                  <c:v>6</c:v>
                </c:pt>
                <c:pt idx="14">
                  <c:v>4</c:v>
                </c:pt>
                <c:pt idx="15">
                  <c:v>4</c:v>
                </c:pt>
                <c:pt idx="16">
                  <c:v>2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</c:numCache>
            </c:numRef>
          </c:val>
        </c:ser>
        <c:gapWidth val="150"/>
        <c:overlap val="0"/>
        <c:axId val="60862417"/>
        <c:axId val="84071246"/>
      </c:barChart>
      <c:catAx>
        <c:axId val="608624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Risparmio Netto 5 Anni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€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4071246"/>
        <c:crosses val="autoZero"/>
        <c:auto val="1"/>
        <c:lblAlgn val="ctr"/>
        <c:lblOffset val="100"/>
        <c:noMultiLvlLbl val="0"/>
      </c:catAx>
      <c:valAx>
        <c:axId val="840712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Frequenza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086241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26</xdr:row>
      <xdr:rowOff>0</xdr:rowOff>
    </xdr:from>
    <xdr:to>
      <xdr:col>6</xdr:col>
      <xdr:colOff>166320</xdr:colOff>
      <xdr:row>52</xdr:row>
      <xdr:rowOff>86400</xdr:rowOff>
    </xdr:to>
    <xdr:graphicFrame>
      <xdr:nvGraphicFramePr>
        <xdr:cNvPr id="1" name="Chart 1"/>
        <xdr:cNvGraphicFramePr/>
      </xdr:nvGraphicFramePr>
      <xdr:xfrm>
        <a:off x="211320" y="590544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55</xdr:row>
      <xdr:rowOff>0</xdr:rowOff>
    </xdr:from>
    <xdr:to>
      <xdr:col>8</xdr:col>
      <xdr:colOff>1011960</xdr:colOff>
      <xdr:row>81</xdr:row>
      <xdr:rowOff>86400</xdr:rowOff>
    </xdr:to>
    <xdr:graphicFrame>
      <xdr:nvGraphicFramePr>
        <xdr:cNvPr id="2" name="Chart 1"/>
        <xdr:cNvGraphicFramePr/>
      </xdr:nvGraphicFramePr>
      <xdr:xfrm>
        <a:off x="211320" y="1484676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26"/>
    <col collapsed="false" customWidth="true" hidden="false" outlineLevel="0" max="6" min="6" style="0" width="18"/>
    <col collapsed="false" customWidth="true" hidden="false" outlineLevel="0" max="7" min="7" style="0" width="22"/>
  </cols>
  <sheetData>
    <row r="2" customFormat="false" ht="39.75" hidden="false" customHeight="true" outlineLevel="0" collapsed="false">
      <c r="B2" s="1" t="s">
        <v>0</v>
      </c>
      <c r="C2" s="1"/>
      <c r="D2" s="1"/>
      <c r="E2" s="1"/>
      <c r="F2" s="1"/>
      <c r="G2" s="1"/>
    </row>
    <row r="3" customFormat="false" ht="19.5" hidden="false" customHeight="true" outlineLevel="0" collapsed="false">
      <c r="B3" s="2" t="s">
        <v>1</v>
      </c>
      <c r="C3" s="2"/>
      <c r="D3" s="2"/>
      <c r="E3" s="2"/>
      <c r="F3" s="2"/>
      <c r="G3" s="2"/>
    </row>
    <row r="5" customFormat="false" ht="21.75" hidden="false" customHeight="true" outlineLevel="0" collapsed="false">
      <c r="B5" s="3" t="s">
        <v>2</v>
      </c>
      <c r="C5" s="3"/>
      <c r="D5" s="3"/>
      <c r="E5" s="3"/>
      <c r="F5" s="3"/>
      <c r="G5" s="3"/>
    </row>
    <row r="6" customFormat="false" ht="37.5" hidden="false" customHeight="true" outlineLevel="0" collapsed="false">
      <c r="B6" s="4" t="s">
        <v>3</v>
      </c>
      <c r="C6" s="4" t="s">
        <v>4</v>
      </c>
      <c r="D6" s="5" t="s">
        <v>5</v>
      </c>
      <c r="E6" s="6" t="s">
        <v>6</v>
      </c>
      <c r="F6" s="7" t="s">
        <v>7</v>
      </c>
    </row>
    <row r="7" customFormat="false" ht="30" hidden="false" customHeight="true" outlineLevel="0" collapsed="false">
      <c r="B7" s="8" t="s">
        <v>8</v>
      </c>
      <c r="C7" s="8" t="s">
        <v>9</v>
      </c>
      <c r="D7" s="9" t="s">
        <v>10</v>
      </c>
      <c r="E7" s="10" t="s">
        <v>11</v>
      </c>
      <c r="F7" s="11" t="s">
        <v>12</v>
      </c>
    </row>
    <row r="9" customFormat="false" ht="21.75" hidden="false" customHeight="true" outlineLevel="0" collapsed="false">
      <c r="B9" s="3" t="s">
        <v>13</v>
      </c>
      <c r="C9" s="3"/>
      <c r="D9" s="3"/>
      <c r="E9" s="3"/>
      <c r="F9" s="3"/>
      <c r="G9" s="3"/>
    </row>
    <row r="10" customFormat="false" ht="21.75" hidden="false" customHeight="true" outlineLevel="0" collapsed="false">
      <c r="B10" s="12" t="s">
        <v>14</v>
      </c>
      <c r="C10" s="13" t="s">
        <v>15</v>
      </c>
      <c r="D10" s="13" t="s">
        <v>16</v>
      </c>
      <c r="E10" s="13" t="s">
        <v>17</v>
      </c>
      <c r="F10" s="13" t="s">
        <v>18</v>
      </c>
    </row>
    <row r="11" customFormat="false" ht="21.75" hidden="false" customHeight="true" outlineLevel="0" collapsed="false">
      <c r="B11" s="14" t="s">
        <v>19</v>
      </c>
      <c r="C11" s="15" t="s">
        <v>20</v>
      </c>
      <c r="D11" s="15" t="s">
        <v>21</v>
      </c>
      <c r="E11" s="15" t="s">
        <v>22</v>
      </c>
      <c r="F11" s="15" t="s">
        <v>23</v>
      </c>
    </row>
    <row r="12" customFormat="false" ht="21.75" hidden="false" customHeight="true" outlineLevel="0" collapsed="false">
      <c r="B12" s="16" t="s">
        <v>24</v>
      </c>
      <c r="C12" s="17" t="s">
        <v>25</v>
      </c>
      <c r="D12" s="17" t="s">
        <v>26</v>
      </c>
      <c r="E12" s="17" t="s">
        <v>27</v>
      </c>
      <c r="F12" s="17" t="s">
        <v>28</v>
      </c>
    </row>
    <row r="13" customFormat="false" ht="21.75" hidden="false" customHeight="true" outlineLevel="0" collapsed="false">
      <c r="B13" s="14" t="s">
        <v>29</v>
      </c>
      <c r="C13" s="15" t="s">
        <v>30</v>
      </c>
      <c r="D13" s="15" t="s">
        <v>31</v>
      </c>
      <c r="E13" s="15" t="s">
        <v>32</v>
      </c>
      <c r="F13" s="15" t="s">
        <v>33</v>
      </c>
    </row>
    <row r="14" customFormat="false" ht="21.75" hidden="false" customHeight="true" outlineLevel="0" collapsed="false">
      <c r="B14" s="16" t="s">
        <v>34</v>
      </c>
      <c r="C14" s="17" t="s">
        <v>35</v>
      </c>
      <c r="D14" s="17" t="s">
        <v>36</v>
      </c>
      <c r="E14" s="17" t="s">
        <v>37</v>
      </c>
      <c r="F14" s="17" t="s">
        <v>38</v>
      </c>
    </row>
    <row r="17" customFormat="false" ht="21.75" hidden="false" customHeight="true" outlineLevel="0" collapsed="false">
      <c r="B17" s="3" t="s">
        <v>39</v>
      </c>
      <c r="C17" s="3"/>
      <c r="D17" s="3"/>
      <c r="E17" s="3"/>
      <c r="F17" s="3"/>
      <c r="G17" s="3"/>
    </row>
    <row r="18" customFormat="false" ht="31.5" hidden="false" customHeight="true" outlineLevel="0" collapsed="false">
      <c r="B18" s="18" t="s">
        <v>40</v>
      </c>
      <c r="C18" s="18"/>
      <c r="D18" s="18"/>
      <c r="E18" s="18"/>
      <c r="F18" s="18"/>
      <c r="G18" s="18"/>
    </row>
    <row r="19" customFormat="false" ht="31.5" hidden="false" customHeight="true" outlineLevel="0" collapsed="false">
      <c r="B19" s="19" t="s">
        <v>41</v>
      </c>
      <c r="C19" s="19"/>
      <c r="D19" s="19"/>
      <c r="E19" s="19"/>
      <c r="F19" s="19"/>
      <c r="G19" s="19"/>
    </row>
    <row r="20" customFormat="false" ht="31.5" hidden="false" customHeight="true" outlineLevel="0" collapsed="false">
      <c r="B20" s="18" t="s">
        <v>42</v>
      </c>
      <c r="C20" s="18"/>
      <c r="D20" s="18"/>
      <c r="E20" s="18"/>
      <c r="F20" s="18"/>
      <c r="G20" s="18"/>
    </row>
    <row r="21" customFormat="false" ht="31.5" hidden="false" customHeight="true" outlineLevel="0" collapsed="false">
      <c r="B21" s="19" t="s">
        <v>43</v>
      </c>
      <c r="C21" s="19"/>
      <c r="D21" s="19"/>
      <c r="E21" s="19"/>
      <c r="F21" s="19"/>
      <c r="G21" s="19"/>
    </row>
    <row r="22" customFormat="false" ht="31.5" hidden="false" customHeight="true" outlineLevel="0" collapsed="false">
      <c r="B22" s="18" t="s">
        <v>44</v>
      </c>
      <c r="C22" s="18"/>
      <c r="D22" s="18"/>
      <c r="E22" s="18"/>
      <c r="F22" s="18"/>
      <c r="G22" s="18"/>
    </row>
  </sheetData>
  <mergeCells count="10">
    <mergeCell ref="B2:G2"/>
    <mergeCell ref="B3:G3"/>
    <mergeCell ref="B5:G5"/>
    <mergeCell ref="B9:G9"/>
    <mergeCell ref="B17:G17"/>
    <mergeCell ref="B18:G18"/>
    <mergeCell ref="B19:G19"/>
    <mergeCell ref="B20:G20"/>
    <mergeCell ref="B21:G21"/>
    <mergeCell ref="B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5"/>
    <col collapsed="false" customWidth="true" hidden="false" outlineLevel="0" max="5" min="3" style="0" width="18"/>
    <col collapsed="false" customWidth="true" hidden="false" outlineLevel="0" max="6" min="6" style="0" width="22"/>
    <col collapsed="false" customWidth="true" hidden="false" outlineLevel="0" max="7" min="7" style="0" width="25"/>
  </cols>
  <sheetData>
    <row r="2" customFormat="false" ht="31.5" hidden="false" customHeight="true" outlineLevel="0" collapsed="false">
      <c r="B2" s="20" t="s">
        <v>45</v>
      </c>
      <c r="C2" s="20"/>
      <c r="D2" s="20"/>
      <c r="E2" s="20"/>
      <c r="F2" s="20"/>
      <c r="G2" s="20"/>
    </row>
    <row r="3" customFormat="false" ht="19.5" hidden="false" customHeight="true" outlineLevel="0" collapsed="false">
      <c r="B3" s="2" t="s">
        <v>46</v>
      </c>
      <c r="C3" s="2"/>
      <c r="D3" s="2"/>
      <c r="E3" s="2"/>
      <c r="F3" s="2"/>
      <c r="G3" s="2"/>
    </row>
    <row r="5" customFormat="false" ht="21.75" hidden="false" customHeight="true" outlineLevel="0" collapsed="false">
      <c r="B5" s="3" t="s">
        <v>47</v>
      </c>
      <c r="C5" s="3"/>
      <c r="D5" s="3"/>
      <c r="E5" s="3"/>
      <c r="F5" s="3"/>
      <c r="G5" s="3"/>
    </row>
    <row r="6" customFormat="false" ht="19.5" hidden="false" customHeight="true" outlineLevel="0" collapsed="false">
      <c r="B6" s="13" t="s">
        <v>48</v>
      </c>
      <c r="C6" s="13" t="s">
        <v>49</v>
      </c>
      <c r="D6" s="13" t="s">
        <v>50</v>
      </c>
      <c r="E6" s="13" t="s">
        <v>51</v>
      </c>
    </row>
    <row r="7" customFormat="false" ht="15" hidden="false" customHeight="false" outlineLevel="0" collapsed="false">
      <c r="B7" s="21" t="s">
        <v>52</v>
      </c>
      <c r="C7" s="22" t="n">
        <v>500000</v>
      </c>
      <c r="D7" s="23" t="s">
        <v>53</v>
      </c>
      <c r="E7" s="24" t="s">
        <v>54</v>
      </c>
    </row>
    <row r="8" customFormat="false" ht="22.35" hidden="false" customHeight="false" outlineLevel="0" collapsed="false">
      <c r="B8" s="21" t="s">
        <v>55</v>
      </c>
      <c r="C8" s="25" t="n">
        <v>0.08</v>
      </c>
      <c r="D8" s="23" t="s">
        <v>56</v>
      </c>
      <c r="E8" s="24" t="s">
        <v>57</v>
      </c>
    </row>
    <row r="9" customFormat="false" ht="22.35" hidden="false" customHeight="false" outlineLevel="0" collapsed="false">
      <c r="B9" s="21" t="s">
        <v>58</v>
      </c>
      <c r="C9" s="25" t="n">
        <v>0.6</v>
      </c>
      <c r="D9" s="23" t="s">
        <v>56</v>
      </c>
      <c r="E9" s="24" t="s">
        <v>59</v>
      </c>
    </row>
    <row r="10" customFormat="false" ht="22.35" hidden="false" customHeight="false" outlineLevel="0" collapsed="false">
      <c r="B10" s="21" t="s">
        <v>60</v>
      </c>
      <c r="C10" s="25" t="n">
        <v>0.1</v>
      </c>
      <c r="D10" s="23" t="s">
        <v>56</v>
      </c>
      <c r="E10" s="24" t="s">
        <v>61</v>
      </c>
    </row>
    <row r="11" customFormat="false" ht="22.35" hidden="false" customHeight="false" outlineLevel="0" collapsed="false">
      <c r="B11" s="21" t="s">
        <v>62</v>
      </c>
      <c r="C11" s="25" t="n">
        <v>0.25</v>
      </c>
      <c r="D11" s="23" t="s">
        <v>56</v>
      </c>
      <c r="E11" s="24" t="s">
        <v>63</v>
      </c>
    </row>
    <row r="12" customFormat="false" ht="22.35" hidden="false" customHeight="false" outlineLevel="0" collapsed="false">
      <c r="B12" s="21" t="s">
        <v>64</v>
      </c>
      <c r="C12" s="25" t="n">
        <v>0.9</v>
      </c>
      <c r="D12" s="23" t="s">
        <v>56</v>
      </c>
      <c r="E12" s="24" t="s">
        <v>65</v>
      </c>
    </row>
    <row r="14" customFormat="false" ht="21.75" hidden="false" customHeight="true" outlineLevel="0" collapsed="false">
      <c r="B14" s="3" t="s">
        <v>66</v>
      </c>
      <c r="C14" s="3"/>
      <c r="D14" s="3"/>
      <c r="E14" s="3"/>
      <c r="F14" s="3"/>
      <c r="G14" s="3"/>
    </row>
    <row r="15" customFormat="false" ht="15" hidden="false" customHeight="false" outlineLevel="0" collapsed="false">
      <c r="B15" s="13" t="s">
        <v>67</v>
      </c>
      <c r="C15" s="13" t="s">
        <v>68</v>
      </c>
      <c r="D15" s="13" t="s">
        <v>69</v>
      </c>
      <c r="E15" s="13" t="s">
        <v>70</v>
      </c>
    </row>
    <row r="16" customFormat="false" ht="15" hidden="false" customHeight="false" outlineLevel="0" collapsed="false">
      <c r="B16" s="21" t="s">
        <v>71</v>
      </c>
      <c r="C16" s="26" t="n">
        <v>350</v>
      </c>
      <c r="D16" s="26" t="n">
        <v>1200</v>
      </c>
      <c r="E16" s="24" t="s">
        <v>72</v>
      </c>
    </row>
    <row r="17" customFormat="false" ht="22.35" hidden="false" customHeight="false" outlineLevel="0" collapsed="false">
      <c r="B17" s="21" t="s">
        <v>73</v>
      </c>
      <c r="C17" s="26" t="n">
        <v>50000</v>
      </c>
      <c r="D17" s="26" t="n">
        <v>0</v>
      </c>
      <c r="E17" s="24" t="s">
        <v>74</v>
      </c>
    </row>
    <row r="18" customFormat="false" ht="15" hidden="false" customHeight="false" outlineLevel="0" collapsed="false">
      <c r="B18" s="21" t="s">
        <v>75</v>
      </c>
      <c r="C18" s="26" t="n">
        <v>20</v>
      </c>
      <c r="D18" s="26" t="n">
        <v>150</v>
      </c>
      <c r="E18" s="24" t="s">
        <v>76</v>
      </c>
    </row>
    <row r="19" customFormat="false" ht="22.35" hidden="false" customHeight="false" outlineLevel="0" collapsed="false">
      <c r="B19" s="21" t="s">
        <v>77</v>
      </c>
      <c r="C19" s="26" t="n">
        <v>40</v>
      </c>
      <c r="D19" s="26" t="n">
        <v>200</v>
      </c>
      <c r="E19" s="24" t="s">
        <v>78</v>
      </c>
    </row>
    <row r="20" customFormat="false" ht="22.35" hidden="false" customHeight="false" outlineLevel="0" collapsed="false">
      <c r="B20" s="21" t="s">
        <v>79</v>
      </c>
      <c r="C20" s="26" t="n">
        <v>120</v>
      </c>
      <c r="D20" s="26" t="n">
        <v>350</v>
      </c>
      <c r="E20" s="24" t="s">
        <v>80</v>
      </c>
    </row>
    <row r="21" customFormat="false" ht="15" hidden="false" customHeight="false" outlineLevel="0" collapsed="false">
      <c r="B21" s="21" t="s">
        <v>81</v>
      </c>
      <c r="C21" s="26" t="n">
        <v>180</v>
      </c>
      <c r="D21" s="26" t="n">
        <v>620</v>
      </c>
      <c r="E21" s="24" t="s">
        <v>82</v>
      </c>
    </row>
    <row r="24" customFormat="false" ht="15" hidden="false" customHeight="true" outlineLevel="0" collapsed="false">
      <c r="B24" s="3" t="s">
        <v>83</v>
      </c>
      <c r="C24" s="3"/>
      <c r="D24" s="3"/>
      <c r="E24" s="3"/>
      <c r="F24" s="3"/>
      <c r="G24" s="3"/>
    </row>
    <row r="25" customFormat="false" ht="15" hidden="false" customHeight="false" outlineLevel="0" collapsed="false">
      <c r="B25" s="13" t="s">
        <v>48</v>
      </c>
      <c r="C25" s="13" t="s">
        <v>84</v>
      </c>
      <c r="D25" s="13" t="s">
        <v>85</v>
      </c>
      <c r="E25" s="13" t="s">
        <v>86</v>
      </c>
    </row>
    <row r="26" customFormat="false" ht="15" hidden="false" customHeight="false" outlineLevel="0" collapsed="false">
      <c r="B26" s="21" t="s">
        <v>87</v>
      </c>
      <c r="C26" s="25" t="n">
        <v>0.65</v>
      </c>
      <c r="D26" s="25" t="n">
        <v>0.55</v>
      </c>
      <c r="E26" s="27" t="s">
        <v>88</v>
      </c>
    </row>
    <row r="27" customFormat="false" ht="15" hidden="false" customHeight="false" outlineLevel="0" collapsed="false">
      <c r="B27" s="21" t="s">
        <v>89</v>
      </c>
      <c r="C27" s="25" t="n">
        <v>0.25</v>
      </c>
      <c r="D27" s="25" t="n">
        <v>0.2</v>
      </c>
      <c r="E27" s="27" t="s">
        <v>88</v>
      </c>
    </row>
    <row r="28" customFormat="false" ht="15" hidden="false" customHeight="false" outlineLevel="0" collapsed="false">
      <c r="B28" s="21" t="s">
        <v>90</v>
      </c>
      <c r="C28" s="25" t="n">
        <v>0.3</v>
      </c>
      <c r="D28" s="25" t="n">
        <v>0.35</v>
      </c>
      <c r="E28" s="27" t="s">
        <v>88</v>
      </c>
    </row>
    <row r="29" customFormat="false" ht="15" hidden="false" customHeight="false" outlineLevel="0" collapsed="false">
      <c r="B29" s="21" t="s">
        <v>91</v>
      </c>
      <c r="C29" s="25" t="n">
        <v>0.12</v>
      </c>
      <c r="D29" s="25" t="n">
        <v>0.1</v>
      </c>
      <c r="E29" s="27" t="s">
        <v>92</v>
      </c>
    </row>
    <row r="32" customFormat="false" ht="21.75" hidden="false" customHeight="true" outlineLevel="0" collapsed="false">
      <c r="B32" s="3" t="s">
        <v>93</v>
      </c>
      <c r="C32" s="3"/>
      <c r="D32" s="3"/>
      <c r="E32" s="3"/>
      <c r="F32" s="3"/>
      <c r="G32" s="3"/>
    </row>
    <row r="33" customFormat="false" ht="19.5" hidden="false" customHeight="true" outlineLevel="0" collapsed="false">
      <c r="B33" s="13" t="s">
        <v>94</v>
      </c>
      <c r="C33" s="13" t="s">
        <v>95</v>
      </c>
      <c r="D33" s="13" t="s">
        <v>96</v>
      </c>
      <c r="E33" s="13" t="s">
        <v>97</v>
      </c>
      <c r="F33" s="13" t="s">
        <v>98</v>
      </c>
      <c r="G33" s="13" t="s">
        <v>99</v>
      </c>
    </row>
    <row r="34" customFormat="false" ht="19.5" hidden="false" customHeight="true" outlineLevel="0" collapsed="false">
      <c r="B34" s="21" t="s">
        <v>100</v>
      </c>
      <c r="C34" s="28" t="n">
        <f aca="false">C7*C9*C8</f>
        <v>24000</v>
      </c>
      <c r="D34" s="28" t="n">
        <f aca="false">C7*C9*C8</f>
        <v>24000</v>
      </c>
      <c r="E34" s="28" t="n">
        <f aca="false">C7*C9*C8</f>
        <v>24000</v>
      </c>
      <c r="F34" s="28" t="n">
        <f aca="false">C7*C9*C8</f>
        <v>24000</v>
      </c>
      <c r="G34" s="28" t="n">
        <f aca="false">C7*C9*C8</f>
        <v>24000</v>
      </c>
    </row>
    <row r="35" customFormat="false" ht="19.5" hidden="false" customHeight="true" outlineLevel="0" collapsed="false">
      <c r="B35" s="21" t="s">
        <v>101</v>
      </c>
      <c r="C35" s="28" t="n">
        <f aca="false">C10*C34</f>
        <v>2400</v>
      </c>
      <c r="D35" s="28" t="n">
        <f aca="false">C10+(C11-C10)/4*D34</f>
        <v>900.1</v>
      </c>
      <c r="E35" s="28" t="n">
        <f aca="false">C10+2*(C11-C10)/4*E34</f>
        <v>1800.1</v>
      </c>
      <c r="F35" s="28" t="n">
        <f aca="false">C10+3*(C11-C10)/4*F34</f>
        <v>2700.1</v>
      </c>
      <c r="G35" s="28" t="n">
        <f aca="false">C11*G34</f>
        <v>6000</v>
      </c>
    </row>
    <row r="36" customFormat="false" ht="19.5" hidden="false" customHeight="true" outlineLevel="0" collapsed="false">
      <c r="B36" s="21" t="s">
        <v>102</v>
      </c>
      <c r="C36" s="28" t="n">
        <f aca="false">(1-C10)*C34</f>
        <v>21600</v>
      </c>
      <c r="D36" s="28" t="n">
        <f aca="false">(1-C10+(C11-C10)/4)*D34</f>
        <v>22500</v>
      </c>
      <c r="E36" s="28" t="n">
        <f aca="false">(1-C10+2*(C11-C10)/4)*E34</f>
        <v>23400</v>
      </c>
      <c r="F36" s="28" t="n">
        <f aca="false">(1-C10+3*(C11-C10)/4)*F34</f>
        <v>24300</v>
      </c>
      <c r="G36" s="28" t="n">
        <f aca="false">(1-C11)*G34</f>
        <v>18000</v>
      </c>
    </row>
    <row r="37" customFormat="false" ht="19.5" hidden="false" customHeight="true" outlineLevel="0" collapsed="false">
      <c r="B37" s="21" t="s">
        <v>103</v>
      </c>
      <c r="C37" s="29" t="n">
        <f aca="false">C35*($C16+$C18+$C19+$C20+$C21)</f>
        <v>1704000</v>
      </c>
      <c r="D37" s="29" t="n">
        <f aca="false">D35*($C16+$C18+$C19+$C20+$C21)</f>
        <v>639071</v>
      </c>
      <c r="E37" s="29" t="n">
        <f aca="false">E35*($C16+$C18+$C19+$C20+$C21)</f>
        <v>1278071</v>
      </c>
      <c r="F37" s="29" t="n">
        <f aca="false">F35*($C16+$C18+$C19+$C20+$C21)</f>
        <v>1917071</v>
      </c>
      <c r="G37" s="29" t="n">
        <f aca="false">G35*($C16+$C18+$C19+$C20+$C21)</f>
        <v>4260000</v>
      </c>
    </row>
    <row r="38" customFormat="false" ht="19.5" hidden="false" customHeight="true" outlineLevel="0" collapsed="false">
      <c r="B38" s="21" t="s">
        <v>104</v>
      </c>
      <c r="C38" s="29" t="n">
        <f aca="false">C36*($D16+$D18+$D19+$D20+$D21)</f>
        <v>54432000</v>
      </c>
      <c r="D38" s="29" t="n">
        <f aca="false">D36*($D16+$D18+$D19+$D20+$D21)</f>
        <v>56700000</v>
      </c>
      <c r="E38" s="29" t="n">
        <f aca="false">E36*($D16+$D18+$D19+$D20+$D21)</f>
        <v>58968000</v>
      </c>
      <c r="F38" s="29" t="n">
        <f aca="false">F36*($D16+$D18+$D19+$D20+$D21)</f>
        <v>61236000</v>
      </c>
      <c r="G38" s="29" t="n">
        <f aca="false">G36*($D16+$D18+$D19+$D20+$D21)</f>
        <v>45360000</v>
      </c>
    </row>
    <row r="39" customFormat="false" ht="19.5" hidden="false" customHeight="true" outlineLevel="0" collapsed="false">
      <c r="B39" s="21" t="s">
        <v>105</v>
      </c>
      <c r="C39" s="30" t="n">
        <f aca="false">C38-C37</f>
        <v>52728000</v>
      </c>
      <c r="D39" s="30" t="n">
        <f aca="false">D38-D37</f>
        <v>56060929</v>
      </c>
      <c r="E39" s="30" t="n">
        <f aca="false">E38-E37</f>
        <v>57689929</v>
      </c>
      <c r="F39" s="30" t="n">
        <f aca="false">F38-F37</f>
        <v>59318929</v>
      </c>
      <c r="G39" s="30" t="n">
        <f aca="false">G38-G37</f>
        <v>41100000</v>
      </c>
    </row>
    <row r="40" customFormat="false" ht="19.5" hidden="false" customHeight="true" outlineLevel="0" collapsed="false">
      <c r="B40" s="21" t="s">
        <v>106</v>
      </c>
      <c r="C40" s="31" t="n">
        <f aca="false">C39</f>
        <v>52728000</v>
      </c>
      <c r="D40" s="31" t="n">
        <f aca="false">C40+D39</f>
        <v>108788929</v>
      </c>
      <c r="E40" s="31" t="n">
        <f aca="false">D40+E39</f>
        <v>166478858</v>
      </c>
      <c r="F40" s="31" t="n">
        <f aca="false">E40+F39</f>
        <v>225797787</v>
      </c>
      <c r="G40" s="31" t="n">
        <f aca="false">F40+G39</f>
        <v>266897787</v>
      </c>
    </row>
    <row r="41" customFormat="false" ht="19.5" hidden="false" customHeight="true" outlineLevel="0" collapsed="false"/>
  </sheetData>
  <mergeCells count="6">
    <mergeCell ref="B2:G2"/>
    <mergeCell ref="B3:G3"/>
    <mergeCell ref="B5:G5"/>
    <mergeCell ref="B14:G14"/>
    <mergeCell ref="B24:G24"/>
    <mergeCell ref="B32:G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6" min="3" style="0" width="18"/>
    <col collapsed="false" customWidth="true" hidden="false" outlineLevel="0" max="7" min="7" style="0" width="20"/>
    <col collapsed="false" customWidth="true" hidden="false" outlineLevel="0" max="8" min="8" style="0" width="22"/>
  </cols>
  <sheetData>
    <row r="2" customFormat="false" ht="31.5" hidden="false" customHeight="true" outlineLevel="0" collapsed="false">
      <c r="B2" s="32" t="s">
        <v>107</v>
      </c>
      <c r="C2" s="32"/>
      <c r="D2" s="32"/>
      <c r="E2" s="32"/>
      <c r="F2" s="32"/>
      <c r="G2" s="32"/>
      <c r="H2" s="32"/>
    </row>
    <row r="3" customFormat="false" ht="15" hidden="false" customHeight="true" outlineLevel="0" collapsed="false">
      <c r="B3" s="33" t="s">
        <v>108</v>
      </c>
      <c r="C3" s="33"/>
      <c r="D3" s="33"/>
      <c r="E3" s="33"/>
      <c r="F3" s="33"/>
      <c r="G3" s="33"/>
      <c r="H3" s="33"/>
    </row>
    <row r="5" customFormat="false" ht="21.75" hidden="false" customHeight="true" outlineLevel="0" collapsed="false">
      <c r="B5" s="3" t="s">
        <v>109</v>
      </c>
      <c r="C5" s="3"/>
      <c r="D5" s="3"/>
      <c r="E5" s="3"/>
      <c r="F5" s="3"/>
      <c r="G5" s="3"/>
      <c r="H5" s="3"/>
    </row>
    <row r="6" customFormat="false" ht="19.5" hidden="false" customHeight="true" outlineLevel="0" collapsed="false">
      <c r="B6" s="13" t="s">
        <v>110</v>
      </c>
      <c r="C6" s="13" t="s">
        <v>111</v>
      </c>
      <c r="D6" s="13" t="s">
        <v>112</v>
      </c>
      <c r="E6" s="13" t="s">
        <v>113</v>
      </c>
      <c r="F6" s="13" t="s">
        <v>114</v>
      </c>
      <c r="G6" s="13" t="s">
        <v>115</v>
      </c>
      <c r="H6" s="13" t="s">
        <v>116</v>
      </c>
    </row>
    <row r="7" customFormat="false" ht="21.75" hidden="false" customHeight="true" outlineLevel="0" collapsed="false">
      <c r="B7" s="21" t="s">
        <v>117</v>
      </c>
      <c r="C7" s="29" t="n">
        <v>234570000</v>
      </c>
      <c r="D7" s="29" t="n">
        <v>184674000</v>
      </c>
      <c r="E7" s="29" t="n">
        <v>284466000</v>
      </c>
      <c r="F7" s="29" t="n">
        <v>99792000</v>
      </c>
      <c r="G7" s="34" t="n">
        <v>0.425425246195166</v>
      </c>
      <c r="H7" s="23" t="s">
        <v>118</v>
      </c>
    </row>
    <row r="8" customFormat="false" ht="21.75" hidden="false" customHeight="true" outlineLevel="0" collapsed="false">
      <c r="B8" s="35" t="s">
        <v>119</v>
      </c>
      <c r="C8" s="36" t="n">
        <v>234570000</v>
      </c>
      <c r="D8" s="36" t="n">
        <v>187656000</v>
      </c>
      <c r="E8" s="36" t="n">
        <v>281484000</v>
      </c>
      <c r="F8" s="36" t="n">
        <v>93828000</v>
      </c>
      <c r="G8" s="37" t="n">
        <v>0.4</v>
      </c>
      <c r="H8" s="17" t="s">
        <v>118</v>
      </c>
    </row>
    <row r="9" customFormat="false" ht="21.75" hidden="false" customHeight="true" outlineLevel="0" collapsed="false">
      <c r="B9" s="21" t="s">
        <v>120</v>
      </c>
      <c r="C9" s="29" t="n">
        <v>234570000</v>
      </c>
      <c r="D9" s="29" t="n">
        <v>187656000</v>
      </c>
      <c r="E9" s="29" t="n">
        <v>281484000</v>
      </c>
      <c r="F9" s="29" t="n">
        <v>93828000</v>
      </c>
      <c r="G9" s="34" t="n">
        <v>0.4</v>
      </c>
      <c r="H9" s="23" t="s">
        <v>118</v>
      </c>
    </row>
    <row r="10" customFormat="false" ht="21.75" hidden="false" customHeight="true" outlineLevel="0" collapsed="false">
      <c r="B10" s="35" t="s">
        <v>121</v>
      </c>
      <c r="C10" s="36" t="n">
        <v>234570000</v>
      </c>
      <c r="D10" s="36" t="n">
        <v>187656000</v>
      </c>
      <c r="E10" s="36" t="n">
        <v>281484000</v>
      </c>
      <c r="F10" s="36" t="n">
        <v>93828000</v>
      </c>
      <c r="G10" s="37" t="n">
        <v>0.4</v>
      </c>
      <c r="H10" s="17" t="s">
        <v>118</v>
      </c>
    </row>
    <row r="11" customFormat="false" ht="21.75" hidden="false" customHeight="true" outlineLevel="0" collapsed="false">
      <c r="B11" s="21" t="s">
        <v>122</v>
      </c>
      <c r="C11" s="29" t="n">
        <v>234570000</v>
      </c>
      <c r="D11" s="29" t="n">
        <v>244260000</v>
      </c>
      <c r="E11" s="29" t="n">
        <v>224880000</v>
      </c>
      <c r="F11" s="29" t="n">
        <v>19380000</v>
      </c>
      <c r="G11" s="34" t="n">
        <v>0.0826192607750352</v>
      </c>
      <c r="H11" s="23" t="s">
        <v>123</v>
      </c>
    </row>
    <row r="12" customFormat="false" ht="21.75" hidden="false" customHeight="true" outlineLevel="0" collapsed="false">
      <c r="B12" s="35" t="s">
        <v>124</v>
      </c>
      <c r="C12" s="36" t="n">
        <v>234570000</v>
      </c>
      <c r="D12" s="36" t="n">
        <v>238446000</v>
      </c>
      <c r="E12" s="36" t="n">
        <v>230694000</v>
      </c>
      <c r="F12" s="36" t="n">
        <v>7752000</v>
      </c>
      <c r="G12" s="37" t="n">
        <v>0.0330477043100141</v>
      </c>
      <c r="H12" s="17" t="s">
        <v>123</v>
      </c>
    </row>
    <row r="13" customFormat="false" ht="21.75" hidden="false" customHeight="true" outlineLevel="0" collapsed="false">
      <c r="B13" s="21" t="s">
        <v>125</v>
      </c>
      <c r="C13" s="29" t="n">
        <v>234570000</v>
      </c>
      <c r="D13" s="29" t="n">
        <v>237552000</v>
      </c>
      <c r="E13" s="29" t="n">
        <v>231588000</v>
      </c>
      <c r="F13" s="29" t="n">
        <v>5964000</v>
      </c>
      <c r="G13" s="34" t="n">
        <v>0.0254252461951656</v>
      </c>
      <c r="H13" s="23" t="s">
        <v>123</v>
      </c>
    </row>
    <row r="15" customFormat="false" ht="15" hidden="false" customHeight="true" outlineLevel="0" collapsed="false">
      <c r="B15" s="38" t="s">
        <v>126</v>
      </c>
      <c r="C15" s="38"/>
      <c r="D15" s="38"/>
      <c r="E15" s="38"/>
      <c r="F15" s="38"/>
      <c r="G15" s="38"/>
      <c r="H15" s="38"/>
    </row>
    <row r="17" customFormat="false" ht="15" hidden="false" customHeight="true" outlineLevel="0" collapsed="false">
      <c r="B17" s="3" t="s">
        <v>127</v>
      </c>
      <c r="C17" s="3"/>
      <c r="D17" s="3"/>
      <c r="E17" s="3"/>
      <c r="F17" s="3"/>
      <c r="G17" s="3"/>
      <c r="H17" s="3"/>
    </row>
    <row r="18" customFormat="false" ht="15" hidden="false" customHeight="false" outlineLevel="0" collapsed="false">
      <c r="B18" s="13" t="s">
        <v>110</v>
      </c>
      <c r="C18" s="13" t="s">
        <v>128</v>
      </c>
      <c r="D18" s="13" t="s">
        <v>129</v>
      </c>
    </row>
    <row r="19" customFormat="false" ht="15" hidden="false" customHeight="false" outlineLevel="0" collapsed="false">
      <c r="B19" s="24" t="s">
        <v>117</v>
      </c>
      <c r="C19" s="29" t="n">
        <v>-49896000</v>
      </c>
      <c r="D19" s="29" t="n">
        <v>49896000</v>
      </c>
    </row>
    <row r="20" customFormat="false" ht="15" hidden="false" customHeight="false" outlineLevel="0" collapsed="false">
      <c r="B20" s="24" t="s">
        <v>119</v>
      </c>
      <c r="C20" s="29" t="n">
        <v>-46914000</v>
      </c>
      <c r="D20" s="29" t="n">
        <v>46914000</v>
      </c>
    </row>
    <row r="21" customFormat="false" ht="15" hidden="false" customHeight="false" outlineLevel="0" collapsed="false">
      <c r="B21" s="24" t="s">
        <v>120</v>
      </c>
      <c r="C21" s="29" t="n">
        <v>-46914000</v>
      </c>
      <c r="D21" s="29" t="n">
        <v>46914000</v>
      </c>
    </row>
    <row r="22" customFormat="false" ht="15" hidden="false" customHeight="false" outlineLevel="0" collapsed="false">
      <c r="B22" s="24" t="s">
        <v>121</v>
      </c>
      <c r="C22" s="29" t="n">
        <v>-46914000</v>
      </c>
      <c r="D22" s="29" t="n">
        <v>46914000</v>
      </c>
    </row>
    <row r="23" customFormat="false" ht="15" hidden="false" customHeight="false" outlineLevel="0" collapsed="false">
      <c r="B23" s="24" t="s">
        <v>122</v>
      </c>
      <c r="C23" s="29" t="n">
        <v>9690000</v>
      </c>
      <c r="D23" s="29" t="n">
        <v>-9690000</v>
      </c>
    </row>
    <row r="24" customFormat="false" ht="15" hidden="false" customHeight="false" outlineLevel="0" collapsed="false">
      <c r="B24" s="24" t="s">
        <v>124</v>
      </c>
      <c r="C24" s="29" t="n">
        <v>3876000</v>
      </c>
      <c r="D24" s="29" t="n">
        <v>-3876000</v>
      </c>
    </row>
    <row r="25" customFormat="false" ht="15" hidden="false" customHeight="false" outlineLevel="0" collapsed="false">
      <c r="B25" s="24" t="s">
        <v>125</v>
      </c>
      <c r="C25" s="29" t="n">
        <v>2982000</v>
      </c>
      <c r="D25" s="29" t="n">
        <v>-2982000</v>
      </c>
    </row>
  </sheetData>
  <mergeCells count="5">
    <mergeCell ref="B2:H2"/>
    <mergeCell ref="B3:H3"/>
    <mergeCell ref="B5:H5"/>
    <mergeCell ref="B15:H15"/>
    <mergeCell ref="B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5" min="3" style="0" width="14"/>
    <col collapsed="false" customWidth="true" hidden="false" outlineLevel="0" max="9" min="6" style="0" width="16"/>
    <col collapsed="false" customWidth="true" hidden="false" outlineLevel="0" max="10" min="10" style="0" width="20"/>
  </cols>
  <sheetData>
    <row r="2" customFormat="false" ht="31.5" hidden="false" customHeight="true" outlineLevel="0" collapsed="false">
      <c r="B2" s="32" t="s">
        <v>130</v>
      </c>
      <c r="C2" s="32"/>
      <c r="D2" s="32"/>
      <c r="E2" s="32"/>
      <c r="F2" s="32"/>
      <c r="G2" s="32"/>
      <c r="H2" s="32"/>
      <c r="I2" s="32"/>
      <c r="J2" s="32"/>
    </row>
    <row r="3" customFormat="false" ht="15" hidden="false" customHeight="true" outlineLevel="0" collapsed="false">
      <c r="B3" s="39" t="s">
        <v>131</v>
      </c>
      <c r="C3" s="39"/>
      <c r="D3" s="39"/>
      <c r="E3" s="39"/>
      <c r="F3" s="39"/>
      <c r="G3" s="39"/>
      <c r="H3" s="39"/>
      <c r="I3" s="39"/>
      <c r="J3" s="39"/>
    </row>
    <row r="5" customFormat="false" ht="21.75" hidden="false" customHeight="true" outlineLevel="0" collapsed="false">
      <c r="B5" s="3" t="s">
        <v>132</v>
      </c>
      <c r="C5" s="3"/>
      <c r="D5" s="3"/>
      <c r="E5" s="3"/>
      <c r="F5" s="3"/>
      <c r="G5" s="3"/>
      <c r="H5" s="3"/>
      <c r="I5" s="3"/>
      <c r="J5" s="3"/>
    </row>
    <row r="6" customFormat="false" ht="15" hidden="false" customHeight="false" outlineLevel="0" collapsed="false">
      <c r="B6" s="13" t="s">
        <v>110</v>
      </c>
      <c r="C6" s="13" t="s">
        <v>133</v>
      </c>
      <c r="D6" s="13" t="s">
        <v>134</v>
      </c>
      <c r="E6" s="13" t="s">
        <v>135</v>
      </c>
      <c r="F6" s="13" t="s">
        <v>136</v>
      </c>
      <c r="G6" s="13" t="s">
        <v>137</v>
      </c>
      <c r="H6" s="13" t="s">
        <v>138</v>
      </c>
    </row>
    <row r="7" customFormat="false" ht="35.05" hidden="false" customHeight="false" outlineLevel="0" collapsed="false">
      <c r="B7" s="21" t="s">
        <v>139</v>
      </c>
      <c r="C7" s="23" t="s">
        <v>140</v>
      </c>
      <c r="D7" s="27" t="s">
        <v>141</v>
      </c>
      <c r="E7" s="27" t="s">
        <v>142</v>
      </c>
      <c r="F7" s="34" t="n">
        <v>0.08</v>
      </c>
      <c r="G7" s="34" t="n">
        <v>0.012</v>
      </c>
      <c r="H7" s="27" t="s">
        <v>140</v>
      </c>
    </row>
    <row r="8" customFormat="false" ht="46.25" hidden="false" customHeight="false" outlineLevel="0" collapsed="false">
      <c r="B8" s="21" t="s">
        <v>143</v>
      </c>
      <c r="C8" s="23" t="s">
        <v>140</v>
      </c>
      <c r="D8" s="27" t="s">
        <v>144</v>
      </c>
      <c r="E8" s="27" t="s">
        <v>145</v>
      </c>
      <c r="F8" s="34" t="n">
        <v>0.1</v>
      </c>
      <c r="G8" s="34" t="n">
        <v>0.02</v>
      </c>
      <c r="H8" s="27" t="s">
        <v>140</v>
      </c>
    </row>
    <row r="9" customFormat="false" ht="46.25" hidden="false" customHeight="false" outlineLevel="0" collapsed="false">
      <c r="B9" s="21" t="s">
        <v>146</v>
      </c>
      <c r="C9" s="23" t="s">
        <v>140</v>
      </c>
      <c r="D9" s="27" t="s">
        <v>147</v>
      </c>
      <c r="E9" s="27" t="s">
        <v>148</v>
      </c>
      <c r="F9" s="34" t="n">
        <v>0.25</v>
      </c>
      <c r="G9" s="34" t="n">
        <v>0.04</v>
      </c>
      <c r="H9" s="27" t="s">
        <v>140</v>
      </c>
    </row>
    <row r="10" customFormat="false" ht="46.25" hidden="false" customHeight="false" outlineLevel="0" collapsed="false">
      <c r="B10" s="21" t="s">
        <v>149</v>
      </c>
      <c r="C10" s="23" t="s">
        <v>150</v>
      </c>
      <c r="D10" s="27" t="s">
        <v>151</v>
      </c>
      <c r="E10" s="27" t="s">
        <v>152</v>
      </c>
      <c r="F10" s="29" t="n">
        <v>710</v>
      </c>
      <c r="G10" s="29" t="n">
        <v>142</v>
      </c>
      <c r="H10" s="27" t="s">
        <v>150</v>
      </c>
    </row>
    <row r="11" customFormat="false" ht="46.25" hidden="false" customHeight="false" outlineLevel="0" collapsed="false">
      <c r="B11" s="21" t="s">
        <v>153</v>
      </c>
      <c r="C11" s="23" t="s">
        <v>150</v>
      </c>
      <c r="D11" s="27" t="s">
        <v>151</v>
      </c>
      <c r="E11" s="27" t="s">
        <v>154</v>
      </c>
      <c r="F11" s="29" t="n">
        <v>2520</v>
      </c>
      <c r="G11" s="29" t="n">
        <v>504</v>
      </c>
      <c r="H11" s="27" t="s">
        <v>150</v>
      </c>
    </row>
    <row r="12" customFormat="false" ht="35.05" hidden="false" customHeight="false" outlineLevel="0" collapsed="false">
      <c r="B12" s="21" t="s">
        <v>155</v>
      </c>
      <c r="C12" s="23" t="s">
        <v>140</v>
      </c>
      <c r="D12" s="27" t="s">
        <v>156</v>
      </c>
      <c r="E12" s="27" t="s">
        <v>157</v>
      </c>
      <c r="F12" s="34" t="n">
        <v>0.65</v>
      </c>
      <c r="G12" s="34" t="n">
        <v>0.07</v>
      </c>
      <c r="H12" s="27" t="s">
        <v>140</v>
      </c>
    </row>
    <row r="13" customFormat="false" ht="35.05" hidden="false" customHeight="false" outlineLevel="0" collapsed="false">
      <c r="B13" s="21" t="s">
        <v>158</v>
      </c>
      <c r="C13" s="23" t="s">
        <v>140</v>
      </c>
      <c r="D13" s="27" t="s">
        <v>159</v>
      </c>
      <c r="E13" s="27" t="s">
        <v>160</v>
      </c>
      <c r="F13" s="34" t="n">
        <v>0.55</v>
      </c>
      <c r="G13" s="34" t="n">
        <v>0.06</v>
      </c>
      <c r="H13" s="27" t="s">
        <v>140</v>
      </c>
    </row>
    <row r="16" customFormat="false" ht="15" hidden="false" customHeight="true" outlineLevel="0" collapsed="false">
      <c r="B16" s="3" t="s">
        <v>161</v>
      </c>
      <c r="C16" s="3"/>
      <c r="D16" s="3"/>
      <c r="E16" s="3"/>
      <c r="F16" s="3"/>
      <c r="G16" s="3"/>
      <c r="H16" s="3"/>
      <c r="I16" s="3"/>
      <c r="J16" s="3"/>
    </row>
    <row r="17" customFormat="false" ht="15" hidden="false" customHeight="false" outlineLevel="0" collapsed="false">
      <c r="B17" s="13" t="s">
        <v>162</v>
      </c>
      <c r="C17" s="13" t="s">
        <v>163</v>
      </c>
    </row>
    <row r="18" customFormat="false" ht="15" hidden="false" customHeight="false" outlineLevel="0" collapsed="false">
      <c r="B18" s="21" t="s">
        <v>136</v>
      </c>
      <c r="C18" s="40" t="n">
        <v>236712050.29055</v>
      </c>
    </row>
    <row r="19" customFormat="false" ht="15" hidden="false" customHeight="false" outlineLevel="0" collapsed="false">
      <c r="B19" s="21" t="s">
        <v>164</v>
      </c>
      <c r="C19" s="40" t="n">
        <v>230645282.553296</v>
      </c>
    </row>
    <row r="20" customFormat="false" ht="23.85" hidden="false" customHeight="false" outlineLevel="0" collapsed="false">
      <c r="B20" s="21" t="s">
        <v>165</v>
      </c>
      <c r="C20" s="29" t="n">
        <v>61099293.407654</v>
      </c>
    </row>
    <row r="21" customFormat="false" ht="15" hidden="false" customHeight="false" outlineLevel="0" collapsed="false">
      <c r="B21" s="21" t="s">
        <v>166</v>
      </c>
      <c r="C21" s="29" t="n">
        <v>95879349.2929128</v>
      </c>
    </row>
    <row r="22" customFormat="false" ht="15" hidden="false" customHeight="false" outlineLevel="0" collapsed="false">
      <c r="B22" s="21" t="s">
        <v>167</v>
      </c>
      <c r="C22" s="29" t="n">
        <v>545729920.384529</v>
      </c>
    </row>
    <row r="23" customFormat="false" ht="35.05" hidden="false" customHeight="false" outlineLevel="0" collapsed="false">
      <c r="B23" s="21" t="s">
        <v>168</v>
      </c>
      <c r="C23" s="29" t="n">
        <v>152476021.788536</v>
      </c>
    </row>
    <row r="24" customFormat="false" ht="35.05" hidden="false" customHeight="false" outlineLevel="0" collapsed="false">
      <c r="B24" s="21" t="s">
        <v>169</v>
      </c>
      <c r="C24" s="29" t="n">
        <v>194087377.520318</v>
      </c>
    </row>
    <row r="25" customFormat="false" ht="35.05" hidden="false" customHeight="false" outlineLevel="0" collapsed="false">
      <c r="B25" s="21" t="s">
        <v>170</v>
      </c>
      <c r="C25" s="29" t="n">
        <v>268735930.104419</v>
      </c>
    </row>
    <row r="26" customFormat="false" ht="35.05" hidden="false" customHeight="false" outlineLevel="0" collapsed="false">
      <c r="B26" s="21" t="s">
        <v>171</v>
      </c>
      <c r="C26" s="29" t="n">
        <v>350167505.674381</v>
      </c>
    </row>
    <row r="27" customFormat="false" ht="23.85" hidden="false" customHeight="false" outlineLevel="0" collapsed="false">
      <c r="B27" s="21" t="s">
        <v>172</v>
      </c>
      <c r="C27" s="34" t="n">
        <v>1</v>
      </c>
    </row>
    <row r="28" customFormat="false" ht="23.85" hidden="false" customHeight="false" outlineLevel="0" collapsed="false">
      <c r="B28" s="21" t="s">
        <v>173</v>
      </c>
      <c r="C28" s="29" t="n">
        <v>152476021.788536</v>
      </c>
    </row>
    <row r="29" customFormat="false" ht="23.85" hidden="false" customHeight="false" outlineLevel="0" collapsed="false">
      <c r="B29" s="21" t="s">
        <v>174</v>
      </c>
      <c r="C29" s="29" t="n">
        <v>350167505.674381</v>
      </c>
    </row>
    <row r="32" customFormat="false" ht="15" hidden="false" customHeight="true" outlineLevel="0" collapsed="false">
      <c r="B32" s="3" t="s">
        <v>175</v>
      </c>
      <c r="C32" s="3"/>
      <c r="D32" s="3"/>
      <c r="E32" s="3"/>
      <c r="F32" s="3"/>
      <c r="G32" s="3"/>
      <c r="H32" s="3"/>
      <c r="I32" s="3"/>
      <c r="J32" s="3"/>
    </row>
    <row r="33" customFormat="false" ht="35.05" hidden="false" customHeight="false" outlineLevel="0" collapsed="false">
      <c r="B33" s="13" t="s">
        <v>176</v>
      </c>
      <c r="C33" s="13" t="s">
        <v>177</v>
      </c>
      <c r="D33" s="13" t="s">
        <v>178</v>
      </c>
      <c r="E33" s="13" t="s">
        <v>179</v>
      </c>
    </row>
    <row r="34" customFormat="false" ht="15" hidden="false" customHeight="false" outlineLevel="0" collapsed="false">
      <c r="B34" s="29" t="n">
        <v>107125613.570203</v>
      </c>
      <c r="C34" s="28" t="n">
        <v>7</v>
      </c>
      <c r="D34" s="34" t="n">
        <v>0.007</v>
      </c>
      <c r="E34" s="34" t="n">
        <v>0.007</v>
      </c>
    </row>
    <row r="35" customFormat="false" ht="15" hidden="false" customHeight="false" outlineLevel="0" collapsed="false">
      <c r="B35" s="29" t="n">
        <v>129618142.124784</v>
      </c>
      <c r="C35" s="28" t="n">
        <v>25</v>
      </c>
      <c r="D35" s="34" t="n">
        <v>0.025</v>
      </c>
      <c r="E35" s="34" t="n">
        <v>0.032</v>
      </c>
    </row>
    <row r="36" customFormat="false" ht="15" hidden="false" customHeight="false" outlineLevel="0" collapsed="false">
      <c r="B36" s="29" t="n">
        <v>152110670.679365</v>
      </c>
      <c r="C36" s="28" t="n">
        <v>66</v>
      </c>
      <c r="D36" s="34" t="n">
        <v>0.066</v>
      </c>
      <c r="E36" s="34" t="n">
        <v>0.098</v>
      </c>
    </row>
    <row r="37" customFormat="false" ht="15" hidden="false" customHeight="false" outlineLevel="0" collapsed="false">
      <c r="B37" s="29" t="n">
        <v>174603199.233946</v>
      </c>
      <c r="C37" s="28" t="n">
        <v>103</v>
      </c>
      <c r="D37" s="34" t="n">
        <v>0.103</v>
      </c>
      <c r="E37" s="34" t="n">
        <v>0.201</v>
      </c>
    </row>
    <row r="38" customFormat="false" ht="15" hidden="false" customHeight="false" outlineLevel="0" collapsed="false">
      <c r="B38" s="29" t="n">
        <v>197095727.788526</v>
      </c>
      <c r="C38" s="28" t="n">
        <v>135</v>
      </c>
      <c r="D38" s="34" t="n">
        <v>0.135</v>
      </c>
      <c r="E38" s="34" t="n">
        <v>0.336</v>
      </c>
    </row>
    <row r="39" customFormat="false" ht="15" hidden="false" customHeight="false" outlineLevel="0" collapsed="false">
      <c r="B39" s="29" t="n">
        <v>219588256.343107</v>
      </c>
      <c r="C39" s="28" t="n">
        <v>166</v>
      </c>
      <c r="D39" s="34" t="n">
        <v>0.166</v>
      </c>
      <c r="E39" s="34" t="n">
        <v>0.502</v>
      </c>
    </row>
    <row r="40" customFormat="false" ht="15" hidden="false" customHeight="false" outlineLevel="0" collapsed="false">
      <c r="B40" s="29" t="n">
        <v>242080784.897688</v>
      </c>
      <c r="C40" s="28" t="n">
        <v>153</v>
      </c>
      <c r="D40" s="34" t="n">
        <v>0.153</v>
      </c>
      <c r="E40" s="34" t="n">
        <v>0.655</v>
      </c>
    </row>
    <row r="41" customFormat="false" ht="15" hidden="false" customHeight="false" outlineLevel="0" collapsed="false">
      <c r="B41" s="29" t="n">
        <v>264573313.452269</v>
      </c>
      <c r="C41" s="28" t="n">
        <v>127</v>
      </c>
      <c r="D41" s="34" t="n">
        <v>0.127</v>
      </c>
      <c r="E41" s="34" t="n">
        <v>0.782</v>
      </c>
    </row>
    <row r="42" customFormat="false" ht="15" hidden="false" customHeight="false" outlineLevel="0" collapsed="false">
      <c r="B42" s="29" t="n">
        <v>287065842.00685</v>
      </c>
      <c r="C42" s="28" t="n">
        <v>65</v>
      </c>
      <c r="D42" s="34" t="n">
        <v>0.065</v>
      </c>
      <c r="E42" s="34" t="n">
        <v>0.847</v>
      </c>
    </row>
    <row r="43" customFormat="false" ht="15" hidden="false" customHeight="false" outlineLevel="0" collapsed="false">
      <c r="B43" s="29" t="n">
        <v>309558370.561431</v>
      </c>
      <c r="C43" s="28" t="n">
        <v>57</v>
      </c>
      <c r="D43" s="34" t="n">
        <v>0.057</v>
      </c>
      <c r="E43" s="34" t="n">
        <v>0.904</v>
      </c>
    </row>
    <row r="44" customFormat="false" ht="15" hidden="false" customHeight="false" outlineLevel="0" collapsed="false">
      <c r="B44" s="29" t="n">
        <v>332050899.116011</v>
      </c>
      <c r="C44" s="28" t="n">
        <v>37</v>
      </c>
      <c r="D44" s="34" t="n">
        <v>0.037</v>
      </c>
      <c r="E44" s="34" t="n">
        <v>0.941</v>
      </c>
    </row>
    <row r="45" customFormat="false" ht="15" hidden="false" customHeight="false" outlineLevel="0" collapsed="false">
      <c r="B45" s="29" t="n">
        <v>354543427.670592</v>
      </c>
      <c r="C45" s="28" t="n">
        <v>27</v>
      </c>
      <c r="D45" s="34" t="n">
        <v>0.027</v>
      </c>
      <c r="E45" s="34" t="n">
        <v>0.968</v>
      </c>
    </row>
    <row r="46" customFormat="false" ht="15" hidden="false" customHeight="false" outlineLevel="0" collapsed="false">
      <c r="B46" s="29" t="n">
        <v>377035956.225173</v>
      </c>
      <c r="C46" s="28" t="n">
        <v>15</v>
      </c>
      <c r="D46" s="34" t="n">
        <v>0.015</v>
      </c>
      <c r="E46" s="34" t="n">
        <v>0.983</v>
      </c>
    </row>
    <row r="47" customFormat="false" ht="15" hidden="false" customHeight="false" outlineLevel="0" collapsed="false">
      <c r="B47" s="29" t="n">
        <v>399528484.779754</v>
      </c>
      <c r="C47" s="28" t="n">
        <v>6</v>
      </c>
      <c r="D47" s="34" t="n">
        <v>0.006</v>
      </c>
      <c r="E47" s="34" t="n">
        <v>0.989</v>
      </c>
    </row>
    <row r="48" customFormat="false" ht="15" hidden="false" customHeight="false" outlineLevel="0" collapsed="false">
      <c r="B48" s="29" t="n">
        <v>422021013.334335</v>
      </c>
      <c r="C48" s="28" t="n">
        <v>4</v>
      </c>
      <c r="D48" s="34" t="n">
        <v>0.004</v>
      </c>
      <c r="E48" s="34" t="n">
        <v>0.993</v>
      </c>
    </row>
    <row r="49" customFormat="false" ht="15" hidden="false" customHeight="false" outlineLevel="0" collapsed="false">
      <c r="B49" s="29" t="n">
        <v>444513541.888915</v>
      </c>
      <c r="C49" s="28" t="n">
        <v>4</v>
      </c>
      <c r="D49" s="34" t="n">
        <v>0.004</v>
      </c>
      <c r="E49" s="34" t="n">
        <v>0.997</v>
      </c>
    </row>
    <row r="50" customFormat="false" ht="15" hidden="false" customHeight="false" outlineLevel="0" collapsed="false">
      <c r="B50" s="29" t="n">
        <v>467006070.443496</v>
      </c>
      <c r="C50" s="28" t="n">
        <v>2</v>
      </c>
      <c r="D50" s="34" t="n">
        <v>0.002</v>
      </c>
      <c r="E50" s="34" t="n">
        <v>0.999</v>
      </c>
    </row>
    <row r="51" customFormat="false" ht="15" hidden="false" customHeight="false" outlineLevel="0" collapsed="false">
      <c r="B51" s="29" t="n">
        <v>489498598.998077</v>
      </c>
      <c r="C51" s="28" t="n">
        <v>0</v>
      </c>
      <c r="D51" s="34" t="n">
        <v>0</v>
      </c>
      <c r="E51" s="34" t="n">
        <v>0.999</v>
      </c>
    </row>
    <row r="52" customFormat="false" ht="15" hidden="false" customHeight="false" outlineLevel="0" collapsed="false">
      <c r="B52" s="29" t="n">
        <v>511991127.552658</v>
      </c>
      <c r="C52" s="28" t="n">
        <v>0</v>
      </c>
      <c r="D52" s="34" t="n">
        <v>0</v>
      </c>
      <c r="E52" s="34" t="n">
        <v>0.999</v>
      </c>
    </row>
    <row r="53" customFormat="false" ht="15" hidden="false" customHeight="false" outlineLevel="0" collapsed="false">
      <c r="B53" s="29" t="n">
        <v>534483656.107239</v>
      </c>
      <c r="C53" s="28" t="n">
        <v>1</v>
      </c>
      <c r="D53" s="34" t="n">
        <v>0.001</v>
      </c>
      <c r="E53" s="34" t="n">
        <v>1</v>
      </c>
    </row>
    <row r="82" customFormat="false" ht="15" hidden="false" customHeight="true" outlineLevel="0" collapsed="false">
      <c r="B82" s="3" t="s">
        <v>180</v>
      </c>
      <c r="C82" s="3"/>
      <c r="D82" s="3"/>
      <c r="E82" s="3"/>
      <c r="F82" s="3"/>
      <c r="G82" s="3"/>
      <c r="H82" s="3"/>
      <c r="I82" s="3"/>
      <c r="J82" s="3"/>
    </row>
    <row r="83" customFormat="false" ht="15" hidden="false" customHeight="false" outlineLevel="0" collapsed="false">
      <c r="B83" s="13" t="s">
        <v>181</v>
      </c>
      <c r="C83" s="13" t="s">
        <v>182</v>
      </c>
      <c r="D83" s="13" t="s">
        <v>183</v>
      </c>
      <c r="E83" s="13" t="s">
        <v>184</v>
      </c>
      <c r="F83" s="13" t="s">
        <v>185</v>
      </c>
      <c r="G83" s="13" t="s">
        <v>186</v>
      </c>
      <c r="H83" s="13" t="s">
        <v>187</v>
      </c>
      <c r="I83" s="13" t="s">
        <v>188</v>
      </c>
      <c r="J83" s="13" t="s">
        <v>189</v>
      </c>
    </row>
    <row r="84" customFormat="false" ht="15" hidden="false" customHeight="false" outlineLevel="0" collapsed="false">
      <c r="B84" s="41" t="n">
        <v>1</v>
      </c>
      <c r="C84" s="42" t="n">
        <v>0.0857757494172712</v>
      </c>
      <c r="D84" s="42" t="n">
        <v>0.0673553497488089</v>
      </c>
      <c r="E84" s="42" t="n">
        <v>0.347082968970566</v>
      </c>
      <c r="F84" s="43" t="n">
        <v>445.747596665476</v>
      </c>
      <c r="G84" s="43" t="n">
        <v>2636.0694891884</v>
      </c>
      <c r="H84" s="44" t="n">
        <v>0.533217203166559</v>
      </c>
      <c r="I84" s="44" t="n">
        <v>0.62953634356577</v>
      </c>
      <c r="J84" s="43" t="n">
        <v>257000178.031448</v>
      </c>
    </row>
    <row r="85" customFormat="false" ht="15" hidden="false" customHeight="false" outlineLevel="0" collapsed="false">
      <c r="B85" s="45" t="n">
        <v>2</v>
      </c>
      <c r="C85" s="46" t="n">
        <v>0.0775574216615901</v>
      </c>
      <c r="D85" s="46" t="n">
        <v>0.11047720970376</v>
      </c>
      <c r="E85" s="46" t="n">
        <v>0.243452999155428</v>
      </c>
      <c r="F85" s="47" t="n">
        <v>642.748966532022</v>
      </c>
      <c r="G85" s="47" t="n">
        <v>3227.38992800565</v>
      </c>
      <c r="H85" s="48" t="n">
        <v>0.65875789812966</v>
      </c>
      <c r="I85" s="48" t="n">
        <v>0.556974661689402</v>
      </c>
      <c r="J85" s="47" t="n">
        <v>295785826.103481</v>
      </c>
    </row>
    <row r="86" customFormat="false" ht="15" hidden="false" customHeight="false" outlineLevel="0" collapsed="false">
      <c r="B86" s="41" t="n">
        <v>3</v>
      </c>
      <c r="C86" s="42" t="n">
        <v>0.0956473801052535</v>
      </c>
      <c r="D86" s="42" t="n">
        <v>0.108361343921597</v>
      </c>
      <c r="E86" s="42" t="n">
        <v>0.258270349361664</v>
      </c>
      <c r="F86" s="43" t="n">
        <v>895.734913844153</v>
      </c>
      <c r="G86" s="43" t="n">
        <v>2853.88868945101</v>
      </c>
      <c r="H86" s="44" t="n">
        <v>0.638709121475829</v>
      </c>
      <c r="I86" s="44" t="n">
        <v>0.445512794015937</v>
      </c>
      <c r="J86" s="43" t="n">
        <v>310833411.211685</v>
      </c>
    </row>
    <row r="87" customFormat="false" ht="15" hidden="false" customHeight="false" outlineLevel="0" collapsed="false">
      <c r="B87" s="45" t="n">
        <v>4</v>
      </c>
      <c r="C87" s="46" t="n">
        <v>0.0724620514060275</v>
      </c>
      <c r="D87" s="46" t="n">
        <v>0.117448190618653</v>
      </c>
      <c r="E87" s="46" t="n">
        <v>0.186204787016863</v>
      </c>
      <c r="F87" s="47" t="n">
        <v>705.094152028208</v>
      </c>
      <c r="G87" s="47" t="n">
        <v>2548.71993678355</v>
      </c>
      <c r="H87" s="48" t="n">
        <v>0.577648797537881</v>
      </c>
      <c r="I87" s="48" t="n">
        <v>0.582280566978498</v>
      </c>
      <c r="J87" s="47" t="n">
        <v>223332183.829484</v>
      </c>
    </row>
    <row r="88" customFormat="false" ht="15" hidden="false" customHeight="false" outlineLevel="0" collapsed="false">
      <c r="B88" s="41" t="n">
        <v>5</v>
      </c>
      <c r="C88" s="42" t="n">
        <v>0.0892899107546472</v>
      </c>
      <c r="D88" s="42" t="n">
        <v>0.0964788273960699</v>
      </c>
      <c r="E88" s="42" t="n">
        <v>0.212112651206467</v>
      </c>
      <c r="F88" s="43" t="n">
        <v>581.870054960646</v>
      </c>
      <c r="G88" s="43" t="n">
        <v>2540.10170969216</v>
      </c>
      <c r="H88" s="44" t="n">
        <v>0.61298033737894</v>
      </c>
      <c r="I88" s="44" t="n">
        <v>0.605880758920235</v>
      </c>
      <c r="J88" s="43" t="n">
        <v>275690827.723924</v>
      </c>
    </row>
    <row r="89" customFormat="false" ht="15" hidden="false" customHeight="false" outlineLevel="0" collapsed="false">
      <c r="B89" s="45" t="n">
        <v>6</v>
      </c>
      <c r="C89" s="46" t="n">
        <v>0.0673668639293108</v>
      </c>
      <c r="D89" s="46" t="n">
        <v>0.0858298267308906</v>
      </c>
      <c r="E89" s="46" t="n">
        <v>0.317150831443847</v>
      </c>
      <c r="F89" s="47" t="n">
        <v>879.641646516007</v>
      </c>
      <c r="G89" s="47" t="n">
        <v>2224.48607749789</v>
      </c>
      <c r="H89" s="48" t="n">
        <v>0.612719894676549</v>
      </c>
      <c r="I89" s="48" t="n">
        <v>0.603367083114839</v>
      </c>
      <c r="J89" s="47" t="n">
        <v>161582895.309229</v>
      </c>
    </row>
    <row r="90" customFormat="false" ht="15" hidden="false" customHeight="false" outlineLevel="0" collapsed="false">
      <c r="B90" s="41" t="n">
        <v>7</v>
      </c>
      <c r="C90" s="42" t="n">
        <v>0.0981980888497188</v>
      </c>
      <c r="D90" s="42" t="n">
        <v>0.0748784724308504</v>
      </c>
      <c r="E90" s="42" t="n">
        <v>0.319464670506432</v>
      </c>
      <c r="F90" s="43" t="n">
        <v>1043.39079916363</v>
      </c>
      <c r="G90" s="43" t="n">
        <v>2395.11883276678</v>
      </c>
      <c r="H90" s="44" t="n">
        <v>0.633418777977889</v>
      </c>
      <c r="I90" s="44" t="n">
        <v>0.600093494982293</v>
      </c>
      <c r="J90" s="43" t="n">
        <v>252930165.483487</v>
      </c>
    </row>
    <row r="91" customFormat="false" ht="15" hidden="false" customHeight="false" outlineLevel="0" collapsed="false">
      <c r="B91" s="45" t="n">
        <v>8</v>
      </c>
      <c r="C91" s="46" t="n">
        <v>0.0729837774093349</v>
      </c>
      <c r="D91" s="46" t="n">
        <v>0.0900316664486243</v>
      </c>
      <c r="E91" s="46" t="n">
        <v>0.207482483939377</v>
      </c>
      <c r="F91" s="47" t="n">
        <v>666.517640454881</v>
      </c>
      <c r="G91" s="47" t="n">
        <v>1950.68331785793</v>
      </c>
      <c r="H91" s="48" t="n">
        <v>0.504635541167797</v>
      </c>
      <c r="I91" s="48" t="n">
        <v>0.589697716821567</v>
      </c>
      <c r="J91" s="47" t="n">
        <v>170930505.449677</v>
      </c>
    </row>
    <row r="92" customFormat="false" ht="15" hidden="false" customHeight="false" outlineLevel="0" collapsed="false">
      <c r="B92" s="41" t="n">
        <v>9</v>
      </c>
      <c r="C92" s="42" t="n">
        <v>0.0736292668977974</v>
      </c>
      <c r="D92" s="42" t="n">
        <v>0.149331683475503</v>
      </c>
      <c r="E92" s="42" t="n">
        <v>0.232912928266098</v>
      </c>
      <c r="F92" s="43" t="n">
        <v>507.445345512766</v>
      </c>
      <c r="G92" s="43" t="n">
        <v>2125.69218306745</v>
      </c>
      <c r="H92" s="44" t="n">
        <v>0.697135508223962</v>
      </c>
      <c r="I92" s="44" t="n">
        <v>0.679118766631499</v>
      </c>
      <c r="J92" s="43" t="n">
        <v>179188697.425652</v>
      </c>
    </row>
    <row r="93" customFormat="false" ht="15" hidden="false" customHeight="false" outlineLevel="0" collapsed="false">
      <c r="B93" s="45" t="n">
        <v>10</v>
      </c>
      <c r="C93" s="46" t="n">
        <v>0.082968256149335</v>
      </c>
      <c r="D93" s="46" t="n">
        <v>0.108820939348207</v>
      </c>
      <c r="E93" s="46" t="n">
        <v>0.237174296538761</v>
      </c>
      <c r="F93" s="47" t="n">
        <v>707.071724349714</v>
      </c>
      <c r="G93" s="47" t="n">
        <v>2027.60109786164</v>
      </c>
      <c r="H93" s="48" t="n">
        <v>0.74462773397626</v>
      </c>
      <c r="I93" s="48" t="n">
        <v>0.593554668923027</v>
      </c>
      <c r="J93" s="47" t="n">
        <v>193462377.951145</v>
      </c>
    </row>
    <row r="94" customFormat="false" ht="15" hidden="false" customHeight="false" outlineLevel="0" collapsed="false">
      <c r="B94" s="41" t="n">
        <v>11</v>
      </c>
      <c r="C94" s="42" t="n">
        <v>0.0939514359018899</v>
      </c>
      <c r="D94" s="42" t="n">
        <v>0.126796123730576</v>
      </c>
      <c r="E94" s="42" t="n">
        <v>0.249695349239293</v>
      </c>
      <c r="F94" s="43" t="n">
        <v>811.569760938878</v>
      </c>
      <c r="G94" s="43" t="n">
        <v>2483.87724926083</v>
      </c>
      <c r="H94" s="44" t="n">
        <v>0.672655800524221</v>
      </c>
      <c r="I94" s="44" t="n">
        <v>0.492102833185411</v>
      </c>
      <c r="J94" s="43" t="n">
        <v>262621048.868971</v>
      </c>
    </row>
    <row r="95" customFormat="false" ht="15" hidden="false" customHeight="false" outlineLevel="0" collapsed="false">
      <c r="B95" s="45" t="n">
        <v>12</v>
      </c>
      <c r="C95" s="46" t="n">
        <v>0.0644486878141748</v>
      </c>
      <c r="D95" s="46" t="n">
        <v>0.115717963902622</v>
      </c>
      <c r="E95" s="46" t="n">
        <v>0.225333417464368</v>
      </c>
      <c r="F95" s="47" t="n">
        <v>673.640423708682</v>
      </c>
      <c r="G95" s="47" t="n">
        <v>2271.04702173386</v>
      </c>
      <c r="H95" s="48" t="n">
        <v>0.702791086952628</v>
      </c>
      <c r="I95" s="48" t="n">
        <v>0.553206077068617</v>
      </c>
      <c r="J95" s="47" t="n">
        <v>171005134.746597</v>
      </c>
    </row>
    <row r="96" customFormat="false" ht="15" hidden="false" customHeight="false" outlineLevel="0" collapsed="false">
      <c r="B96" s="41" t="n">
        <v>13</v>
      </c>
      <c r="C96" s="42" t="n">
        <v>0.0875577807797823</v>
      </c>
      <c r="D96" s="42" t="n">
        <v>0.161079717509154</v>
      </c>
      <c r="E96" s="42" t="n">
        <v>0.206163388133989</v>
      </c>
      <c r="F96" s="43" t="n">
        <v>456.894475350722</v>
      </c>
      <c r="G96" s="43" t="n">
        <v>1798.16820335748</v>
      </c>
      <c r="H96" s="44" t="n">
        <v>0.503468602835197</v>
      </c>
      <c r="I96" s="44" t="n">
        <v>0.555790509429789</v>
      </c>
      <c r="J96" s="43" t="n">
        <v>181781785.35879</v>
      </c>
    </row>
    <row r="97" customFormat="false" ht="15" hidden="false" customHeight="false" outlineLevel="0" collapsed="false">
      <c r="B97" s="45" t="n">
        <v>14</v>
      </c>
      <c r="C97" s="46" t="n">
        <v>0.0791390635151935</v>
      </c>
      <c r="D97" s="46" t="n">
        <v>0.0761783814222019</v>
      </c>
      <c r="E97" s="46" t="n">
        <v>0.28623186058303</v>
      </c>
      <c r="F97" s="47" t="n">
        <v>794.578456010863</v>
      </c>
      <c r="G97" s="47" t="n">
        <v>2773.17862118722</v>
      </c>
      <c r="H97" s="48" t="n">
        <v>0.588898826005348</v>
      </c>
      <c r="I97" s="48" t="n">
        <v>0.678801050578323</v>
      </c>
      <c r="J97" s="47" t="n">
        <v>252455524.016407</v>
      </c>
    </row>
    <row r="98" customFormat="false" ht="15" hidden="false" customHeight="false" outlineLevel="0" collapsed="false">
      <c r="B98" s="41" t="n">
        <v>15</v>
      </c>
      <c r="C98" s="42" t="n">
        <v>0.0709940214311269</v>
      </c>
      <c r="D98" s="42" t="n">
        <v>0.106808133865838</v>
      </c>
      <c r="E98" s="42" t="n">
        <v>0.249816603108076</v>
      </c>
      <c r="F98" s="43" t="n">
        <v>605.277502351796</v>
      </c>
      <c r="G98" s="43" t="n">
        <v>2313.25039746266</v>
      </c>
      <c r="H98" s="44" t="n">
        <v>0.674661791258025</v>
      </c>
      <c r="I98" s="44" t="n">
        <v>0.619647876779403</v>
      </c>
      <c r="J98" s="43" t="n">
        <v>190921464.620554</v>
      </c>
    </row>
    <row r="99" customFormat="false" ht="15" hidden="false" customHeight="false" outlineLevel="0" collapsed="false">
      <c r="B99" s="45" t="n">
        <v>16</v>
      </c>
      <c r="C99" s="46" t="n">
        <v>0.0845975028209112</v>
      </c>
      <c r="D99" s="46" t="n">
        <v>0.141460935632927</v>
      </c>
      <c r="E99" s="46" t="n">
        <v>0.314053115952432</v>
      </c>
      <c r="F99" s="47" t="n">
        <v>640.943420074972</v>
      </c>
      <c r="G99" s="47" t="n">
        <v>2930.06361026174</v>
      </c>
      <c r="H99" s="48" t="n">
        <v>0.637767799353186</v>
      </c>
      <c r="I99" s="48" t="n">
        <v>0.713656790157205</v>
      </c>
      <c r="J99" s="47" t="n">
        <v>268606589.091786</v>
      </c>
    </row>
    <row r="100" customFormat="false" ht="15" hidden="false" customHeight="false" outlineLevel="0" collapsed="false">
      <c r="B100" s="41" t="n">
        <v>17</v>
      </c>
      <c r="C100" s="42" t="n">
        <v>0.0700285569509099</v>
      </c>
      <c r="D100" s="42" t="n">
        <v>0.0789528707061473</v>
      </c>
      <c r="E100" s="42" t="n">
        <v>0.206771272852716</v>
      </c>
      <c r="F100" s="43" t="n">
        <v>512.0569358257</v>
      </c>
      <c r="G100" s="43" t="n">
        <v>2737.59305812454</v>
      </c>
      <c r="H100" s="44" t="n">
        <v>0.705984168716295</v>
      </c>
      <c r="I100" s="44" t="n">
        <v>0.581186312711482</v>
      </c>
      <c r="J100" s="43" t="n">
        <v>238798218.925267</v>
      </c>
    </row>
    <row r="101" customFormat="false" ht="15" hidden="false" customHeight="false" outlineLevel="0" collapsed="false">
      <c r="B101" s="45" t="n">
        <v>18</v>
      </c>
      <c r="C101" s="46" t="n">
        <v>0.0882914198454771</v>
      </c>
      <c r="D101" s="46" t="n">
        <v>0.0987520952710511</v>
      </c>
      <c r="E101" s="46" t="n">
        <v>0.307574355206344</v>
      </c>
      <c r="F101" s="47" t="n">
        <v>424.498681389144</v>
      </c>
      <c r="G101" s="47" t="n">
        <v>3697.38248667576</v>
      </c>
      <c r="H101" s="48" t="n">
        <v>0.624749921714774</v>
      </c>
      <c r="I101" s="48" t="n">
        <v>0.585803924405665</v>
      </c>
      <c r="J101" s="47" t="n">
        <v>378765928.584643</v>
      </c>
    </row>
    <row r="102" customFormat="false" ht="15" hidden="false" customHeight="false" outlineLevel="0" collapsed="false">
      <c r="B102" s="41" t="n">
        <v>19</v>
      </c>
      <c r="C102" s="42" t="n">
        <v>0.0710685848639328</v>
      </c>
      <c r="D102" s="42" t="n">
        <v>0.107367176747988</v>
      </c>
      <c r="E102" s="42" t="n">
        <v>0.259287312874942</v>
      </c>
      <c r="F102" s="43" t="n">
        <v>555.52348980004</v>
      </c>
      <c r="G102" s="43" t="n">
        <v>2488.00134961997</v>
      </c>
      <c r="H102" s="44" t="n">
        <v>0.554476584040852</v>
      </c>
      <c r="I102" s="44" t="n">
        <v>0.491074230532206</v>
      </c>
      <c r="J102" s="43" t="n">
        <v>205747852.08004</v>
      </c>
    </row>
    <row r="103" customFormat="false" ht="15" hidden="false" customHeight="false" outlineLevel="0" collapsed="false">
      <c r="B103" s="45" t="n">
        <v>20</v>
      </c>
      <c r="C103" s="46" t="n">
        <v>0.0746405224015627</v>
      </c>
      <c r="D103" s="46" t="n">
        <v>0.08256290384981</v>
      </c>
      <c r="E103" s="46" t="n">
        <v>0.225208618420039</v>
      </c>
      <c r="F103" s="47" t="n">
        <v>629.962432786122</v>
      </c>
      <c r="G103" s="47" t="n">
        <v>2232.78763489834</v>
      </c>
      <c r="H103" s="48" t="n">
        <v>0.507327897209935</v>
      </c>
      <c r="I103" s="48" t="n">
        <v>0.639399005835052</v>
      </c>
      <c r="J103" s="47" t="n">
        <v>200661844.486629</v>
      </c>
    </row>
    <row r="104" customFormat="false" ht="15" hidden="false" customHeight="false" outlineLevel="0" collapsed="false">
      <c r="B104" s="41" t="n">
        <v>21</v>
      </c>
      <c r="C104" s="42" t="n">
        <v>0.0841910157999492</v>
      </c>
      <c r="D104" s="42" t="n">
        <v>0.0729170185781527</v>
      </c>
      <c r="E104" s="42" t="n">
        <v>0.286106227705152</v>
      </c>
      <c r="F104" s="43" t="n">
        <v>627.324364417876</v>
      </c>
      <c r="G104" s="43" t="n">
        <v>2119.52678540951</v>
      </c>
      <c r="H104" s="44" t="n">
        <v>0.755410361076871</v>
      </c>
      <c r="I104" s="44" t="n">
        <v>0.525221625660678</v>
      </c>
      <c r="J104" s="43" t="n">
        <v>205396831.894852</v>
      </c>
    </row>
    <row r="105" customFormat="false" ht="15" hidden="false" customHeight="false" outlineLevel="0" collapsed="false">
      <c r="B105" s="45" t="n">
        <v>22</v>
      </c>
      <c r="C105" s="46" t="n">
        <v>0.0859942049805733</v>
      </c>
      <c r="D105" s="46" t="n">
        <v>0.146292419625799</v>
      </c>
      <c r="E105" s="46" t="n">
        <v>0.231137364807836</v>
      </c>
      <c r="F105" s="47" t="n">
        <v>935.5442075838</v>
      </c>
      <c r="G105" s="47" t="n">
        <v>2828.0481531174</v>
      </c>
      <c r="H105" s="48" t="n">
        <v>0.730295563148758</v>
      </c>
      <c r="I105" s="48" t="n">
        <v>0.464638912769569</v>
      </c>
      <c r="J105" s="47" t="n">
        <v>273178078.150567</v>
      </c>
    </row>
    <row r="106" customFormat="false" ht="15" hidden="false" customHeight="false" outlineLevel="0" collapsed="false">
      <c r="B106" s="41" t="n">
        <v>23</v>
      </c>
      <c r="C106" s="42" t="n">
        <v>0.0739980750993564</v>
      </c>
      <c r="D106" s="42" t="n">
        <v>0.0749197380908658</v>
      </c>
      <c r="E106" s="42" t="n">
        <v>0.312791199778742</v>
      </c>
      <c r="F106" s="43" t="n">
        <v>568.704849798894</v>
      </c>
      <c r="G106" s="43" t="n">
        <v>2882.21902452295</v>
      </c>
      <c r="H106" s="44" t="n">
        <v>0.557718610106289</v>
      </c>
      <c r="I106" s="44" t="n">
        <v>0.644191832776825</v>
      </c>
      <c r="J106" s="43" t="n">
        <v>245663089.608997</v>
      </c>
    </row>
    <row r="107" customFormat="false" ht="15" hidden="false" customHeight="false" outlineLevel="0" collapsed="false">
      <c r="B107" s="45" t="n">
        <v>24</v>
      </c>
      <c r="C107" s="46" t="n">
        <v>0.0814867564636844</v>
      </c>
      <c r="D107" s="46" t="n">
        <v>0.0900337031757558</v>
      </c>
      <c r="E107" s="46" t="n">
        <v>0.267113488096334</v>
      </c>
      <c r="F107" s="47" t="n">
        <v>846.761382362648</v>
      </c>
      <c r="G107" s="47" t="n">
        <v>2496.67788388765</v>
      </c>
      <c r="H107" s="48" t="n">
        <v>0.656970666125773</v>
      </c>
      <c r="I107" s="48" t="n">
        <v>0.608096249055484</v>
      </c>
      <c r="J107" s="47" t="n">
        <v>232191775.594573</v>
      </c>
    </row>
    <row r="108" customFormat="false" ht="15" hidden="false" customHeight="false" outlineLevel="0" collapsed="false">
      <c r="B108" s="41" t="n">
        <v>25</v>
      </c>
      <c r="C108" s="42" t="n">
        <v>0.075789530621451</v>
      </c>
      <c r="D108" s="42" t="n">
        <v>0.0903302501871128</v>
      </c>
      <c r="E108" s="42" t="n">
        <v>0.236671362275498</v>
      </c>
      <c r="F108" s="43" t="n">
        <v>720.959379198154</v>
      </c>
      <c r="G108" s="43" t="n">
        <v>2624.07779570429</v>
      </c>
      <c r="H108" s="44" t="n">
        <v>0.657473874884285</v>
      </c>
      <c r="I108" s="44" t="n">
        <v>0.453258690641438</v>
      </c>
      <c r="J108" s="43" t="n">
        <v>236140645.02206</v>
      </c>
    </row>
    <row r="109" customFormat="false" ht="15" hidden="false" customHeight="false" outlineLevel="0" collapsed="false">
      <c r="B109" s="45" t="n">
        <v>26</v>
      </c>
      <c r="C109" s="46" t="n">
        <v>0.0719980085535968</v>
      </c>
      <c r="D109" s="46" t="n">
        <v>0.0906798349863805</v>
      </c>
      <c r="E109" s="46" t="n">
        <v>0.282135978996777</v>
      </c>
      <c r="F109" s="47" t="n">
        <v>964.902688226991</v>
      </c>
      <c r="G109" s="47" t="n">
        <v>3071.87926590538</v>
      </c>
      <c r="H109" s="48" t="n">
        <v>0.576280839331331</v>
      </c>
      <c r="I109" s="48" t="n">
        <v>0.49044455046389</v>
      </c>
      <c r="J109" s="47" t="n">
        <v>250487320.197385</v>
      </c>
    </row>
    <row r="110" customFormat="false" ht="15" hidden="false" customHeight="false" outlineLevel="0" collapsed="false">
      <c r="B110" s="41" t="n">
        <v>27</v>
      </c>
      <c r="C110" s="42" t="n">
        <v>0.089121455597466</v>
      </c>
      <c r="D110" s="42" t="n">
        <v>0.0903966596454354</v>
      </c>
      <c r="E110" s="42" t="n">
        <v>0.226870129800489</v>
      </c>
      <c r="F110" s="43" t="n">
        <v>690.291306883109</v>
      </c>
      <c r="G110" s="43" t="n">
        <v>2855.3283966559</v>
      </c>
      <c r="H110" s="44" t="n">
        <v>0.605512538657328</v>
      </c>
      <c r="I110" s="44" t="n">
        <v>0.48651006681491</v>
      </c>
      <c r="J110" s="43" t="n">
        <v>306516497.043822</v>
      </c>
    </row>
    <row r="111" customFormat="false" ht="15" hidden="false" customHeight="false" outlineLevel="0" collapsed="false">
      <c r="B111" s="45" t="n">
        <v>28</v>
      </c>
      <c r="C111" s="46" t="n">
        <v>0.0773445816911292</v>
      </c>
      <c r="D111" s="46" t="n">
        <v>0.117343968295163</v>
      </c>
      <c r="E111" s="46" t="n">
        <v>0.266562167354493</v>
      </c>
      <c r="F111" s="47" t="n">
        <v>465.842122367173</v>
      </c>
      <c r="G111" s="47" t="n">
        <v>2652.34774395394</v>
      </c>
      <c r="H111" s="48" t="n">
        <v>0.635310040865732</v>
      </c>
      <c r="I111" s="48" t="n">
        <v>0.527124368051588</v>
      </c>
      <c r="J111" s="47" t="n">
        <v>238275642.277599</v>
      </c>
    </row>
    <row r="112" customFormat="false" ht="15" hidden="false" customHeight="false" outlineLevel="0" collapsed="false">
      <c r="B112" s="41" t="n">
        <v>29</v>
      </c>
      <c r="C112" s="42" t="n">
        <v>0.072623800288135</v>
      </c>
      <c r="D112" s="42" t="n">
        <v>0.11318901064514</v>
      </c>
      <c r="E112" s="42" t="n">
        <v>0.25214042913172</v>
      </c>
      <c r="F112" s="43" t="n">
        <v>678.201449095867</v>
      </c>
      <c r="G112" s="43" t="n">
        <v>1966.70246702638</v>
      </c>
      <c r="H112" s="44" t="n">
        <v>0.727448824084056</v>
      </c>
      <c r="I112" s="44" t="n">
        <v>0.587314078831565</v>
      </c>
      <c r="J112" s="43" t="n">
        <v>161613936.884388</v>
      </c>
    </row>
    <row r="113" customFormat="false" ht="15" hidden="false" customHeight="false" outlineLevel="0" collapsed="false">
      <c r="B113" s="45" t="n">
        <v>30</v>
      </c>
      <c r="C113" s="46" t="n">
        <v>0.0819870756134862</v>
      </c>
      <c r="D113" s="46" t="n">
        <v>0.113222798668987</v>
      </c>
      <c r="E113" s="46" t="n">
        <v>0.187336375062056</v>
      </c>
      <c r="F113" s="47" t="n">
        <v>428.835965020553</v>
      </c>
      <c r="G113" s="47" t="n">
        <v>2137.01889026867</v>
      </c>
      <c r="H113" s="48" t="n">
        <v>0.742383827641493</v>
      </c>
      <c r="I113" s="48" t="n">
        <v>0.591741922978635</v>
      </c>
      <c r="J113" s="47" t="n">
        <v>215391109.659865</v>
      </c>
    </row>
    <row r="114" customFormat="false" ht="15" hidden="false" customHeight="false" outlineLevel="0" collapsed="false">
      <c r="B114" s="41" t="n">
        <v>31</v>
      </c>
      <c r="C114" s="42" t="n">
        <v>0.0652857358551799</v>
      </c>
      <c r="D114" s="42" t="n">
        <v>0.0965256794229531</v>
      </c>
      <c r="E114" s="42" t="n">
        <v>0.186244392244069</v>
      </c>
      <c r="F114" s="43" t="n">
        <v>553.519996326617</v>
      </c>
      <c r="G114" s="43" t="n">
        <v>2327.84991350088</v>
      </c>
      <c r="H114" s="44" t="n">
        <v>0.732925572113006</v>
      </c>
      <c r="I114" s="44" t="n">
        <v>0.564747302854237</v>
      </c>
      <c r="J114" s="43" t="n">
        <v>188068683.801573</v>
      </c>
    </row>
    <row r="115" customFormat="false" ht="15" hidden="false" customHeight="false" outlineLevel="0" collapsed="false">
      <c r="B115" s="45" t="n">
        <v>32</v>
      </c>
      <c r="C115" s="46" t="n">
        <v>0.0762893968318123</v>
      </c>
      <c r="D115" s="46" t="n">
        <v>0.132753572774774</v>
      </c>
      <c r="E115" s="46" t="n">
        <v>0.211930334455822</v>
      </c>
      <c r="F115" s="47" t="n">
        <v>680.274791498734</v>
      </c>
      <c r="G115" s="47" t="n">
        <v>2355.33172259466</v>
      </c>
      <c r="H115" s="48" t="n">
        <v>0.644825376916562</v>
      </c>
      <c r="I115" s="48" t="n">
        <v>0.512035069692423</v>
      </c>
      <c r="J115" s="47" t="n">
        <v>209662643.687127</v>
      </c>
    </row>
    <row r="116" customFormat="false" ht="15" hidden="false" customHeight="false" outlineLevel="0" collapsed="false">
      <c r="B116" s="41" t="n">
        <v>33</v>
      </c>
      <c r="C116" s="42" t="n">
        <v>0.0827045324990904</v>
      </c>
      <c r="D116" s="42" t="n">
        <v>0.0940843081598834</v>
      </c>
      <c r="E116" s="42" t="n">
        <v>0.200834239819812</v>
      </c>
      <c r="F116" s="43" t="n">
        <v>683.508927218158</v>
      </c>
      <c r="G116" s="43" t="n">
        <v>2174.61749915809</v>
      </c>
      <c r="H116" s="44" t="n">
        <v>0.610770591290171</v>
      </c>
      <c r="I116" s="44" t="n">
        <v>0.584731355999381</v>
      </c>
      <c r="J116" s="43" t="n">
        <v>217491448.476262</v>
      </c>
    </row>
    <row r="117" customFormat="false" ht="15" hidden="false" customHeight="false" outlineLevel="0" collapsed="false">
      <c r="B117" s="45" t="n">
        <v>34</v>
      </c>
      <c r="C117" s="46" t="n">
        <v>0.0591652486467892</v>
      </c>
      <c r="D117" s="46" t="n">
        <v>0.113054452213924</v>
      </c>
      <c r="E117" s="46" t="n">
        <v>0.342575587858496</v>
      </c>
      <c r="F117" s="47" t="n">
        <v>840.727573240119</v>
      </c>
      <c r="G117" s="47" t="n">
        <v>2125.8275197502</v>
      </c>
      <c r="H117" s="48" t="n">
        <v>0.66259370681096</v>
      </c>
      <c r="I117" s="48" t="n">
        <v>0.531910449128453</v>
      </c>
      <c r="J117" s="47" t="n">
        <v>128684567.725561</v>
      </c>
    </row>
    <row r="118" customFormat="false" ht="15" hidden="false" customHeight="false" outlineLevel="0" collapsed="false">
      <c r="B118" s="41" t="n">
        <v>35</v>
      </c>
      <c r="C118" s="42" t="n">
        <v>0.0722924685813198</v>
      </c>
      <c r="D118" s="42" t="n">
        <v>0.0971327082903649</v>
      </c>
      <c r="E118" s="42" t="n">
        <v>0.271765569345766</v>
      </c>
      <c r="F118" s="43" t="n">
        <v>763.467722482642</v>
      </c>
      <c r="G118" s="43" t="n">
        <v>2373.61368453034</v>
      </c>
      <c r="H118" s="44" t="n">
        <v>0.748789006072783</v>
      </c>
      <c r="I118" s="44" t="n">
        <v>0.541971869377285</v>
      </c>
      <c r="J118" s="43" t="n">
        <v>194645489.461281</v>
      </c>
    </row>
    <row r="119" customFormat="false" ht="15" hidden="false" customHeight="false" outlineLevel="0" collapsed="false">
      <c r="B119" s="45" t="n">
        <v>36</v>
      </c>
      <c r="C119" s="46" t="n">
        <v>0.07627373219889</v>
      </c>
      <c r="D119" s="46" t="n">
        <v>0.123345412897826</v>
      </c>
      <c r="E119" s="46" t="n">
        <v>0.241105559924687</v>
      </c>
      <c r="F119" s="47" t="n">
        <v>943.796907234716</v>
      </c>
      <c r="G119" s="47" t="n">
        <v>2571.29959105265</v>
      </c>
      <c r="H119" s="48" t="n">
        <v>0.716360224158585</v>
      </c>
      <c r="I119" s="48" t="n">
        <v>0.634629424883231</v>
      </c>
      <c r="J119" s="47" t="n">
        <v>220899340.626263</v>
      </c>
    </row>
    <row r="120" customFormat="false" ht="15" hidden="false" customHeight="false" outlineLevel="0" collapsed="false">
      <c r="B120" s="41" t="n">
        <v>37</v>
      </c>
      <c r="C120" s="42" t="n">
        <v>0.0903086470499945</v>
      </c>
      <c r="D120" s="42" t="n">
        <v>0.0946463354293488</v>
      </c>
      <c r="E120" s="42" t="n">
        <v>0.242720716563954</v>
      </c>
      <c r="F120" s="43" t="n">
        <v>840.529098413815</v>
      </c>
      <c r="G120" s="43" t="n">
        <v>2749.53584514595</v>
      </c>
      <c r="H120" s="44" t="n">
        <v>0.534542327946298</v>
      </c>
      <c r="I120" s="44" t="n">
        <v>0.537562823686197</v>
      </c>
      <c r="J120" s="43" t="n">
        <v>290425975.549755</v>
      </c>
    </row>
    <row r="121" customFormat="false" ht="15" hidden="false" customHeight="false" outlineLevel="0" collapsed="false">
      <c r="B121" s="45" t="n">
        <v>38</v>
      </c>
      <c r="C121" s="46" t="n">
        <v>0.102330091542602</v>
      </c>
      <c r="D121" s="46" t="n">
        <v>0.149068639476617</v>
      </c>
      <c r="E121" s="46" t="n">
        <v>0.234297030517158</v>
      </c>
      <c r="F121" s="47" t="n">
        <v>818.720000731944</v>
      </c>
      <c r="G121" s="47" t="n">
        <v>1771.9850330404</v>
      </c>
      <c r="H121" s="48" t="n">
        <v>0.648383908730821</v>
      </c>
      <c r="I121" s="48" t="n">
        <v>0.516591669325339</v>
      </c>
      <c r="J121" s="47" t="n">
        <v>195766370.0175</v>
      </c>
    </row>
    <row r="122" customFormat="false" ht="15" hidden="false" customHeight="false" outlineLevel="0" collapsed="false">
      <c r="B122" s="41" t="n">
        <v>39</v>
      </c>
      <c r="C122" s="42" t="n">
        <v>0.0702131755151687</v>
      </c>
      <c r="D122" s="42" t="n">
        <v>0.10361257127266</v>
      </c>
      <c r="E122" s="42" t="n">
        <v>0.282426161410387</v>
      </c>
      <c r="F122" s="43" t="n">
        <v>1023.35795064602</v>
      </c>
      <c r="G122" s="43" t="n">
        <v>2275.047641138</v>
      </c>
      <c r="H122" s="44" t="n">
        <v>0.547944050908733</v>
      </c>
      <c r="I122" s="44" t="n">
        <v>0.503607589266608</v>
      </c>
      <c r="J122" s="43" t="n">
        <v>172555003.229758</v>
      </c>
    </row>
    <row r="123" customFormat="false" ht="15" hidden="false" customHeight="false" outlineLevel="0" collapsed="false">
      <c r="B123" s="45" t="n">
        <v>40</v>
      </c>
      <c r="C123" s="46" t="n">
        <v>0.062551236506417</v>
      </c>
      <c r="D123" s="46" t="n">
        <v>0.115530067002855</v>
      </c>
      <c r="E123" s="46" t="n">
        <v>0.231460241374665</v>
      </c>
      <c r="F123" s="47" t="n">
        <v>831.919995414256</v>
      </c>
      <c r="G123" s="47" t="n">
        <v>1810.46514974193</v>
      </c>
      <c r="H123" s="48" t="n">
        <v>0.698524212865713</v>
      </c>
      <c r="I123" s="48" t="n">
        <v>0.580081186675427</v>
      </c>
      <c r="J123" s="47" t="n">
        <v>126856171.823105</v>
      </c>
    </row>
    <row r="124" customFormat="false" ht="15" hidden="false" customHeight="false" outlineLevel="0" collapsed="false">
      <c r="B124" s="41" t="n">
        <v>41</v>
      </c>
      <c r="C124" s="42" t="n">
        <v>0.0648488230658307</v>
      </c>
      <c r="D124" s="42" t="n">
        <v>0.0864188444148565</v>
      </c>
      <c r="E124" s="42" t="n">
        <v>0.244187957638666</v>
      </c>
      <c r="F124" s="43" t="n">
        <v>908.505898236111</v>
      </c>
      <c r="G124" s="43" t="n">
        <v>2490.44063831069</v>
      </c>
      <c r="H124" s="44" t="n">
        <v>0.613467634029275</v>
      </c>
      <c r="I124" s="44" t="n">
        <v>0.478027568672743</v>
      </c>
      <c r="J124" s="43" t="n">
        <v>187599527.604551</v>
      </c>
    </row>
    <row r="125" customFormat="false" ht="15" hidden="false" customHeight="false" outlineLevel="0" collapsed="false">
      <c r="B125" s="45" t="n">
        <v>42</v>
      </c>
      <c r="C125" s="46" t="n">
        <v>0.0717171660200884</v>
      </c>
      <c r="D125" s="46" t="n">
        <v>0.109812833324539</v>
      </c>
      <c r="E125" s="46" t="n">
        <v>0.276091420477351</v>
      </c>
      <c r="F125" s="47" t="n">
        <v>501.347615032278</v>
      </c>
      <c r="G125" s="47" t="n">
        <v>2482.54282391805</v>
      </c>
      <c r="H125" s="48" t="n">
        <v>0.623824313279208</v>
      </c>
      <c r="I125" s="48" t="n">
        <v>0.626381935807738</v>
      </c>
      <c r="J125" s="47" t="n">
        <v>205124880.716014</v>
      </c>
    </row>
    <row r="126" customFormat="false" ht="15" hidden="false" customHeight="false" outlineLevel="0" collapsed="false">
      <c r="B126" s="41" t="n">
        <v>43</v>
      </c>
      <c r="C126" s="42" t="n">
        <v>0.0938757848966216</v>
      </c>
      <c r="D126" s="42" t="n">
        <v>0.0943022865151047</v>
      </c>
      <c r="E126" s="42" t="n">
        <v>0.237915912170871</v>
      </c>
      <c r="F126" s="43" t="n">
        <v>658.054674542668</v>
      </c>
      <c r="G126" s="43" t="n">
        <v>2442.82524014323</v>
      </c>
      <c r="H126" s="44" t="n">
        <v>0.696517661037631</v>
      </c>
      <c r="I126" s="44" t="n">
        <v>0.577650775654146</v>
      </c>
      <c r="J126" s="43" t="n">
        <v>271452280.921258</v>
      </c>
    </row>
    <row r="127" customFormat="false" ht="15" hidden="false" customHeight="false" outlineLevel="0" collapsed="false">
      <c r="B127" s="45" t="n">
        <v>44</v>
      </c>
      <c r="C127" s="46" t="n">
        <v>0.0616724367392845</v>
      </c>
      <c r="D127" s="46" t="n">
        <v>0.106747913525048</v>
      </c>
      <c r="E127" s="46" t="n">
        <v>0.187004475914997</v>
      </c>
      <c r="F127" s="47" t="n">
        <v>756.987257249481</v>
      </c>
      <c r="G127" s="47" t="n">
        <v>2371.5306639341</v>
      </c>
      <c r="H127" s="48" t="n">
        <v>0.520254636358596</v>
      </c>
      <c r="I127" s="48" t="n">
        <v>0.598717713526919</v>
      </c>
      <c r="J127" s="47" t="n">
        <v>176878940.523606</v>
      </c>
    </row>
    <row r="128" customFormat="false" ht="15" hidden="false" customHeight="false" outlineLevel="0" collapsed="false">
      <c r="B128" s="41" t="n">
        <v>45</v>
      </c>
      <c r="C128" s="42" t="n">
        <v>0.0797961319037328</v>
      </c>
      <c r="D128" s="42" t="n">
        <v>0.119506530301211</v>
      </c>
      <c r="E128" s="42" t="n">
        <v>0.318986565420844</v>
      </c>
      <c r="F128" s="43" t="n">
        <v>711.149418269554</v>
      </c>
      <c r="G128" s="43" t="n">
        <v>2283.30047043288</v>
      </c>
      <c r="H128" s="44" t="n">
        <v>0.615948465530612</v>
      </c>
      <c r="I128" s="44" t="n">
        <v>0.567339539815161</v>
      </c>
      <c r="J128" s="43" t="n">
        <v>194715848.25122</v>
      </c>
    </row>
    <row r="129" customFormat="false" ht="15" hidden="false" customHeight="false" outlineLevel="0" collapsed="false">
      <c r="B129" s="45" t="n">
        <v>46</v>
      </c>
      <c r="C129" s="46" t="n">
        <v>0.0845129393094222</v>
      </c>
      <c r="D129" s="46" t="n">
        <v>0.14834638783339</v>
      </c>
      <c r="E129" s="46" t="n">
        <v>0.256837161834082</v>
      </c>
      <c r="F129" s="47" t="n">
        <v>601.10624576949</v>
      </c>
      <c r="G129" s="47" t="n">
        <v>2444.87552099784</v>
      </c>
      <c r="H129" s="48" t="n">
        <v>0.546455245908376</v>
      </c>
      <c r="I129" s="48" t="n">
        <v>0.48694885805132</v>
      </c>
      <c r="J129" s="47" t="n">
        <v>231707182.17206</v>
      </c>
    </row>
    <row r="130" customFormat="false" ht="15" hidden="false" customHeight="false" outlineLevel="0" collapsed="false">
      <c r="B130" s="41" t="n">
        <v>47</v>
      </c>
      <c r="C130" s="42" t="n">
        <v>0.0711373272116876</v>
      </c>
      <c r="D130" s="42" t="n">
        <v>0.0960473981942365</v>
      </c>
      <c r="E130" s="42" t="n">
        <v>0.277720436325554</v>
      </c>
      <c r="F130" s="43" t="n">
        <v>820.753199013454</v>
      </c>
      <c r="G130" s="43" t="n">
        <v>2763.06889525284</v>
      </c>
      <c r="H130" s="44" t="n">
        <v>0.598919229370043</v>
      </c>
      <c r="I130" s="44" t="n">
        <v>0.607014053880298</v>
      </c>
      <c r="J130" s="43" t="n">
        <v>223368737.220268</v>
      </c>
    </row>
    <row r="131" customFormat="false" ht="15" hidden="false" customHeight="false" outlineLevel="0" collapsed="false">
      <c r="B131" s="45" t="n">
        <v>48</v>
      </c>
      <c r="C131" s="46" t="n">
        <v>0.0854171324596077</v>
      </c>
      <c r="D131" s="46" t="n">
        <v>0.0792476225002058</v>
      </c>
      <c r="E131" s="46" t="n">
        <v>0.272625215233462</v>
      </c>
      <c r="F131" s="47" t="n">
        <v>860.5192039756</v>
      </c>
      <c r="G131" s="47" t="n">
        <v>2315.27800065944</v>
      </c>
      <c r="H131" s="48" t="n">
        <v>0.686996241507896</v>
      </c>
      <c r="I131" s="48" t="n">
        <v>0.469182444982296</v>
      </c>
      <c r="J131" s="47" t="n">
        <v>225057865.246175</v>
      </c>
    </row>
    <row r="132" customFormat="false" ht="15" hidden="false" customHeight="false" outlineLevel="0" collapsed="false">
      <c r="B132" s="41" t="n">
        <v>49</v>
      </c>
      <c r="C132" s="42" t="n">
        <v>0.100488592158367</v>
      </c>
      <c r="D132" s="42" t="n">
        <v>0.10146200166114</v>
      </c>
      <c r="E132" s="42" t="n">
        <v>0.285451435376729</v>
      </c>
      <c r="F132" s="43" t="n">
        <v>689.196000585564</v>
      </c>
      <c r="G132" s="43" t="n">
        <v>1988.20670056615</v>
      </c>
      <c r="H132" s="44" t="n">
        <v>0.711572686735247</v>
      </c>
      <c r="I132" s="44" t="n">
        <v>0.542785420160435</v>
      </c>
      <c r="J132" s="43" t="n">
        <v>221614299.361108</v>
      </c>
    </row>
    <row r="133" customFormat="false" ht="15" hidden="false" customHeight="false" outlineLevel="0" collapsed="false">
      <c r="B133" s="45" t="n">
        <v>50</v>
      </c>
      <c r="C133" s="46" t="n">
        <v>0.066410360373501</v>
      </c>
      <c r="D133" s="46" t="n">
        <v>0.121927655928869</v>
      </c>
      <c r="E133" s="46" t="n">
        <v>0.213735841890425</v>
      </c>
      <c r="F133" s="47" t="n">
        <v>664.664781704849</v>
      </c>
      <c r="G133" s="47" t="n">
        <v>2622.54818973351</v>
      </c>
      <c r="H133" s="48" t="n">
        <v>0.746583371042475</v>
      </c>
      <c r="I133" s="48" t="n">
        <v>0.536866206203907</v>
      </c>
      <c r="J133" s="47" t="n">
        <v>206288791.13601</v>
      </c>
    </row>
    <row r="134" customFormat="false" ht="15" hidden="false" customHeight="false" outlineLevel="0" collapsed="false">
      <c r="B134" s="41" t="n">
        <v>51</v>
      </c>
      <c r="C134" s="42" t="n">
        <v>0.0893920362981823</v>
      </c>
      <c r="D134" s="42" t="n">
        <v>0.115303456253508</v>
      </c>
      <c r="E134" s="42" t="n">
        <v>0.198168530115671</v>
      </c>
      <c r="F134" s="43" t="n">
        <v>632.736840083127</v>
      </c>
      <c r="G134" s="43" t="n">
        <v>2886.06937066037</v>
      </c>
      <c r="H134" s="44" t="n">
        <v>0.666431260621277</v>
      </c>
      <c r="I134" s="44" t="n">
        <v>0.534136426786351</v>
      </c>
      <c r="J134" s="43" t="n">
        <v>313034702.247661</v>
      </c>
    </row>
    <row r="135" customFormat="false" ht="15" hidden="false" customHeight="false" outlineLevel="0" collapsed="false">
      <c r="B135" s="45" t="n">
        <v>52</v>
      </c>
      <c r="C135" s="46" t="n">
        <v>0.0791744309124231</v>
      </c>
      <c r="D135" s="46" t="n">
        <v>0.100295175412736</v>
      </c>
      <c r="E135" s="46" t="n">
        <v>0.31957360494754</v>
      </c>
      <c r="F135" s="47" t="n">
        <v>827.870989085079</v>
      </c>
      <c r="G135" s="47" t="n">
        <v>1970.13526387251</v>
      </c>
      <c r="H135" s="48" t="n">
        <v>0.686936587720825</v>
      </c>
      <c r="I135" s="48" t="n">
        <v>0.51932994853225</v>
      </c>
      <c r="J135" s="47" t="n">
        <v>164216185.25419</v>
      </c>
    </row>
    <row r="136" customFormat="false" ht="15" hidden="false" customHeight="false" outlineLevel="0" collapsed="false">
      <c r="B136" s="41" t="n">
        <v>53</v>
      </c>
      <c r="C136" s="42" t="n">
        <v>0.0774390911373452</v>
      </c>
      <c r="D136" s="42" t="n">
        <v>0.082927735932911</v>
      </c>
      <c r="E136" s="42" t="n">
        <v>0.264572903595752</v>
      </c>
      <c r="F136" s="43" t="n">
        <v>662.032179703474</v>
      </c>
      <c r="G136" s="43" t="n">
        <v>1913.16162051081</v>
      </c>
      <c r="H136" s="44" t="n">
        <v>0.599388221676571</v>
      </c>
      <c r="I136" s="44" t="n">
        <v>0.518414971962623</v>
      </c>
      <c r="J136" s="43" t="n">
        <v>170256138.546576</v>
      </c>
    </row>
    <row r="137" customFormat="false" ht="15" hidden="false" customHeight="false" outlineLevel="0" collapsed="false">
      <c r="B137" s="45" t="n">
        <v>54</v>
      </c>
      <c r="C137" s="46" t="n">
        <v>0.0748725910964234</v>
      </c>
      <c r="D137" s="46" t="n">
        <v>0.103894998749785</v>
      </c>
      <c r="E137" s="46" t="n">
        <v>0.161693860606301</v>
      </c>
      <c r="F137" s="47" t="n">
        <v>706.716796361517</v>
      </c>
      <c r="G137" s="47" t="n">
        <v>1957.38831160331</v>
      </c>
      <c r="H137" s="48" t="n">
        <v>0.511309379387987</v>
      </c>
      <c r="I137" s="48" t="n">
        <v>0.572198604727517</v>
      </c>
      <c r="J137" s="47" t="n">
        <v>180099652.94724</v>
      </c>
    </row>
    <row r="138" customFormat="false" ht="15" hidden="false" customHeight="false" outlineLevel="0" collapsed="false">
      <c r="B138" s="41" t="n">
        <v>55</v>
      </c>
      <c r="C138" s="42" t="n">
        <v>0.0900359270155364</v>
      </c>
      <c r="D138" s="42" t="n">
        <v>0.0614253909757994</v>
      </c>
      <c r="E138" s="42" t="n">
        <v>0.2615027908442</v>
      </c>
      <c r="F138" s="43" t="n">
        <v>887.552937288967</v>
      </c>
      <c r="G138" s="43" t="n">
        <v>2438.32548822478</v>
      </c>
      <c r="H138" s="44" t="n">
        <v>0.63554745232561</v>
      </c>
      <c r="I138" s="44" t="n">
        <v>0.467151349623281</v>
      </c>
      <c r="J138" s="43" t="n">
        <v>256780062.379275</v>
      </c>
    </row>
    <row r="139" customFormat="false" ht="15" hidden="false" customHeight="false" outlineLevel="0" collapsed="false">
      <c r="B139" s="45" t="n">
        <v>56</v>
      </c>
      <c r="C139" s="46" t="n">
        <v>0.0662834586006523</v>
      </c>
      <c r="D139" s="46" t="n">
        <v>0.0861898926551991</v>
      </c>
      <c r="E139" s="46" t="n">
        <v>0.204108919575134</v>
      </c>
      <c r="F139" s="47" t="n">
        <v>742.252076333494</v>
      </c>
      <c r="G139" s="47" t="n">
        <v>3384.35304299341</v>
      </c>
      <c r="H139" s="48" t="n">
        <v>0.651434538382319</v>
      </c>
      <c r="I139" s="48" t="n">
        <v>0.548672080870962</v>
      </c>
      <c r="J139" s="47" t="n">
        <v>276936806.65315</v>
      </c>
    </row>
    <row r="140" customFormat="false" ht="15" hidden="false" customHeight="false" outlineLevel="0" collapsed="false">
      <c r="B140" s="41" t="n">
        <v>57</v>
      </c>
      <c r="C140" s="42" t="n">
        <v>0.0746108819998056</v>
      </c>
      <c r="D140" s="42" t="n">
        <v>0.127494726253702</v>
      </c>
      <c r="E140" s="42" t="n">
        <v>0.226386415935518</v>
      </c>
      <c r="F140" s="43" t="n">
        <v>706.7437730202</v>
      </c>
      <c r="G140" s="43" t="n">
        <v>3267.1027477554</v>
      </c>
      <c r="H140" s="44" t="n">
        <v>0.628417304484157</v>
      </c>
      <c r="I140" s="44" t="n">
        <v>0.541886955593217</v>
      </c>
      <c r="J140" s="43" t="n">
        <v>286949879.234475</v>
      </c>
    </row>
    <row r="141" customFormat="false" ht="15" hidden="false" customHeight="false" outlineLevel="0" collapsed="false">
      <c r="B141" s="45" t="n">
        <v>58</v>
      </c>
      <c r="C141" s="46" t="n">
        <v>0.0852576399333059</v>
      </c>
      <c r="D141" s="46" t="n">
        <v>0.0887318620962397</v>
      </c>
      <c r="E141" s="46" t="n">
        <v>0.255078477765632</v>
      </c>
      <c r="F141" s="47" t="n">
        <v>622.494839490791</v>
      </c>
      <c r="G141" s="47" t="n">
        <v>2624.30046177823</v>
      </c>
      <c r="H141" s="48" t="n">
        <v>0.67379603854896</v>
      </c>
      <c r="I141" s="48" t="n">
        <v>0.460521303501825</v>
      </c>
      <c r="J141" s="47" t="n">
        <v>264233832.200601</v>
      </c>
    </row>
    <row r="142" customFormat="false" ht="15" hidden="false" customHeight="false" outlineLevel="0" collapsed="false">
      <c r="B142" s="41" t="n">
        <v>59</v>
      </c>
      <c r="C142" s="42" t="n">
        <v>0.0748016646422925</v>
      </c>
      <c r="D142" s="42" t="n">
        <v>0.104282488974361</v>
      </c>
      <c r="E142" s="42" t="n">
        <v>0.231002580298263</v>
      </c>
      <c r="F142" s="43" t="n">
        <v>698.856060775808</v>
      </c>
      <c r="G142" s="43" t="n">
        <v>1948.43145124289</v>
      </c>
      <c r="H142" s="44" t="n">
        <v>0.649775732710858</v>
      </c>
      <c r="I142" s="44" t="n">
        <v>0.477426887033278</v>
      </c>
      <c r="J142" s="43" t="n">
        <v>168823631.542815</v>
      </c>
    </row>
    <row r="143" customFormat="false" ht="15" hidden="false" customHeight="false" outlineLevel="0" collapsed="false">
      <c r="B143" s="45" t="n">
        <v>60</v>
      </c>
      <c r="C143" s="46" t="n">
        <v>0.086411579054502</v>
      </c>
      <c r="D143" s="46" t="n">
        <v>0.0797091080542366</v>
      </c>
      <c r="E143" s="46" t="n">
        <v>0.299820142749076</v>
      </c>
      <c r="F143" s="47" t="n">
        <v>604.675775407888</v>
      </c>
      <c r="G143" s="47" t="n">
        <v>3259.27915449274</v>
      </c>
      <c r="H143" s="48" t="n">
        <v>0.594314673052658</v>
      </c>
      <c r="I143" s="48" t="n">
        <v>0.475761136475455</v>
      </c>
      <c r="J143" s="47" t="n">
        <v>327418294.11033</v>
      </c>
    </row>
    <row r="144" customFormat="false" ht="15" hidden="false" customHeight="false" outlineLevel="0" collapsed="false">
      <c r="B144" s="41" t="n">
        <v>61</v>
      </c>
      <c r="C144" s="42" t="n">
        <v>0.0691937475188651</v>
      </c>
      <c r="D144" s="42" t="n">
        <v>0.0747278881020404</v>
      </c>
      <c r="E144" s="42" t="n">
        <v>0.195415735032037</v>
      </c>
      <c r="F144" s="43" t="n">
        <v>732.940853874443</v>
      </c>
      <c r="G144" s="43" t="n">
        <v>3295.73284241645</v>
      </c>
      <c r="H144" s="44" t="n">
        <v>0.672161049628239</v>
      </c>
      <c r="I144" s="44" t="n">
        <v>0.547205596417128</v>
      </c>
      <c r="J144" s="43" t="n">
        <v>285587428.405624</v>
      </c>
    </row>
    <row r="145" customFormat="false" ht="15" hidden="false" customHeight="false" outlineLevel="0" collapsed="false">
      <c r="B145" s="45" t="n">
        <v>62</v>
      </c>
      <c r="C145" s="46" t="n">
        <v>0.0841369088111103</v>
      </c>
      <c r="D145" s="46" t="n">
        <v>0.115774493563497</v>
      </c>
      <c r="E145" s="46" t="n">
        <v>0.273432963548093</v>
      </c>
      <c r="F145" s="47" t="n">
        <v>637.667052850374</v>
      </c>
      <c r="G145" s="47" t="n">
        <v>2108.53514299776</v>
      </c>
      <c r="H145" s="48" t="n">
        <v>0.696456675630658</v>
      </c>
      <c r="I145" s="48" t="n">
        <v>0.543956312853953</v>
      </c>
      <c r="J145" s="47" t="n">
        <v>198661623.601485</v>
      </c>
    </row>
    <row r="146" customFormat="false" ht="15" hidden="false" customHeight="false" outlineLevel="0" collapsed="false">
      <c r="B146" s="41" t="n">
        <v>63</v>
      </c>
      <c r="C146" s="42" t="n">
        <v>0.088467024328306</v>
      </c>
      <c r="D146" s="42" t="n">
        <v>0.088846775003955</v>
      </c>
      <c r="E146" s="42" t="n">
        <v>0.250881224112645</v>
      </c>
      <c r="F146" s="43" t="n">
        <v>653.785104590971</v>
      </c>
      <c r="G146" s="43" t="n">
        <v>2496.4329502608</v>
      </c>
      <c r="H146" s="44" t="n">
        <v>0.692476077528554</v>
      </c>
      <c r="I146" s="44" t="n">
        <v>0.58401692786768</v>
      </c>
      <c r="J146" s="43" t="n">
        <v>260268788.435835</v>
      </c>
    </row>
    <row r="147" customFormat="false" ht="15" hidden="false" customHeight="false" outlineLevel="0" collapsed="false">
      <c r="B147" s="45" t="n">
        <v>64</v>
      </c>
      <c r="C147" s="46" t="n">
        <v>0.0836652797399769</v>
      </c>
      <c r="D147" s="46" t="n">
        <v>0.0662035740741248</v>
      </c>
      <c r="E147" s="46" t="n">
        <v>0.210271097242109</v>
      </c>
      <c r="F147" s="47" t="n">
        <v>699.940819638177</v>
      </c>
      <c r="G147" s="47" t="n">
        <v>2883.10186007522</v>
      </c>
      <c r="H147" s="48" t="n">
        <v>0.666185143668985</v>
      </c>
      <c r="I147" s="48" t="n">
        <v>0.549263919149473</v>
      </c>
      <c r="J147" s="47" t="n">
        <v>299662876.56571</v>
      </c>
    </row>
    <row r="148" customFormat="false" ht="15" hidden="false" customHeight="false" outlineLevel="0" collapsed="false">
      <c r="B148" s="41" t="n">
        <v>65</v>
      </c>
      <c r="C148" s="42" t="n">
        <v>0.0729145752896533</v>
      </c>
      <c r="D148" s="42" t="n">
        <v>0.0640156653375776</v>
      </c>
      <c r="E148" s="42" t="n">
        <v>0.301550659837578</v>
      </c>
      <c r="F148" s="43" t="n">
        <v>969.65688303221</v>
      </c>
      <c r="G148" s="43" t="n">
        <v>3167.42407206867</v>
      </c>
      <c r="H148" s="44" t="n">
        <v>0.676880413985379</v>
      </c>
      <c r="I148" s="44" t="n">
        <v>0.567309385768483</v>
      </c>
      <c r="J148" s="43" t="n">
        <v>263721300.148367</v>
      </c>
    </row>
    <row r="149" customFormat="false" ht="15" hidden="false" customHeight="false" outlineLevel="0" collapsed="false">
      <c r="B149" s="45" t="n">
        <v>66</v>
      </c>
      <c r="C149" s="46" t="n">
        <v>0.0883932769058928</v>
      </c>
      <c r="D149" s="46" t="n">
        <v>0.0980026126815305</v>
      </c>
      <c r="E149" s="46" t="n">
        <v>0.250941685083964</v>
      </c>
      <c r="F149" s="47" t="n">
        <v>501.189808945731</v>
      </c>
      <c r="G149" s="47" t="n">
        <v>2425.34489308096</v>
      </c>
      <c r="H149" s="48" t="n">
        <v>0.575369786543712</v>
      </c>
      <c r="I149" s="48" t="n">
        <v>0.490213324335612</v>
      </c>
      <c r="J149" s="47" t="n">
        <v>253876022.648296</v>
      </c>
    </row>
    <row r="150" customFormat="false" ht="15" hidden="false" customHeight="false" outlineLevel="0" collapsed="false">
      <c r="B150" s="41" t="n">
        <v>67</v>
      </c>
      <c r="C150" s="42" t="n">
        <v>0.0715678810350746</v>
      </c>
      <c r="D150" s="42" t="n">
        <v>0.111625722981479</v>
      </c>
      <c r="E150" s="42" t="n">
        <v>0.284862190368334</v>
      </c>
      <c r="F150" s="43" t="n">
        <v>754.337003004639</v>
      </c>
      <c r="G150" s="43" t="n">
        <v>2941.35834306692</v>
      </c>
      <c r="H150" s="44" t="n">
        <v>0.642224368644082</v>
      </c>
      <c r="I150" s="44" t="n">
        <v>0.565352682107149</v>
      </c>
      <c r="J150" s="43" t="n">
        <v>237108942.480675</v>
      </c>
    </row>
    <row r="151" customFormat="false" ht="15" hidden="false" customHeight="false" outlineLevel="0" collapsed="false">
      <c r="B151" s="45" t="n">
        <v>68</v>
      </c>
      <c r="C151" s="46" t="n">
        <v>0.117230306006514</v>
      </c>
      <c r="D151" s="46" t="n">
        <v>0.0942552953536871</v>
      </c>
      <c r="E151" s="46" t="n">
        <v>0.22026258320026</v>
      </c>
      <c r="F151" s="47" t="n">
        <v>554.708263482057</v>
      </c>
      <c r="G151" s="47" t="n">
        <v>2673.73752732475</v>
      </c>
      <c r="H151" s="48" t="n">
        <v>0.54696076242488</v>
      </c>
      <c r="I151" s="48" t="n">
        <v>0.577739634126668</v>
      </c>
      <c r="J151" s="47" t="n">
        <v>380887518.466512</v>
      </c>
    </row>
    <row r="152" customFormat="false" ht="15" hidden="false" customHeight="false" outlineLevel="0" collapsed="false">
      <c r="B152" s="41" t="n">
        <v>69</v>
      </c>
      <c r="C152" s="42" t="n">
        <v>0.0707789591096139</v>
      </c>
      <c r="D152" s="42" t="n">
        <v>0.113136713438466</v>
      </c>
      <c r="E152" s="42" t="n">
        <v>0.253442505426954</v>
      </c>
      <c r="F152" s="43" t="n">
        <v>662.006318482439</v>
      </c>
      <c r="G152" s="43" t="n">
        <v>1594.44734238332</v>
      </c>
      <c r="H152" s="44" t="n">
        <v>0.679811425703911</v>
      </c>
      <c r="I152" s="44" t="n">
        <v>0.576152607171375</v>
      </c>
      <c r="J152" s="43" t="n">
        <v>125370363.169421</v>
      </c>
    </row>
    <row r="153" customFormat="false" ht="15" hidden="false" customHeight="false" outlineLevel="0" collapsed="false">
      <c r="B153" s="45" t="n">
        <v>70</v>
      </c>
      <c r="C153" s="46" t="n">
        <v>0.0694210014629004</v>
      </c>
      <c r="D153" s="46" t="n">
        <v>0.101028775578399</v>
      </c>
      <c r="E153" s="46" t="n">
        <v>0.1934517451418</v>
      </c>
      <c r="F153" s="47" t="n">
        <v>625.419115828373</v>
      </c>
      <c r="G153" s="47" t="n">
        <v>2644.88216242322</v>
      </c>
      <c r="H153" s="48" t="n">
        <v>0.687043478104069</v>
      </c>
      <c r="I153" s="48" t="n">
        <v>0.453040662860216</v>
      </c>
      <c r="J153" s="47" t="n">
        <v>225274150.548779</v>
      </c>
    </row>
    <row r="154" customFormat="false" ht="15" hidden="false" customHeight="false" outlineLevel="0" collapsed="false">
      <c r="B154" s="41" t="n">
        <v>71</v>
      </c>
      <c r="C154" s="42" t="n">
        <v>0.0822312177933029</v>
      </c>
      <c r="D154" s="42" t="n">
        <v>0.0944335354921271</v>
      </c>
      <c r="E154" s="42" t="n">
        <v>0.20990842059775</v>
      </c>
      <c r="F154" s="43" t="n">
        <v>619.87557216025</v>
      </c>
      <c r="G154" s="43" t="n">
        <v>2597.43486422541</v>
      </c>
      <c r="H154" s="44" t="n">
        <v>0.650736639030077</v>
      </c>
      <c r="I154" s="44" t="n">
        <v>0.541462501610461</v>
      </c>
      <c r="J154" s="43" t="n">
        <v>259997051.261898</v>
      </c>
    </row>
    <row r="155" customFormat="false" ht="15" hidden="false" customHeight="false" outlineLevel="0" collapsed="false">
      <c r="B155" s="45" t="n">
        <v>72</v>
      </c>
      <c r="C155" s="46" t="n">
        <v>0.057600319437335</v>
      </c>
      <c r="D155" s="46" t="n">
        <v>0.0826576035830637</v>
      </c>
      <c r="E155" s="46" t="n">
        <v>0.264110474804887</v>
      </c>
      <c r="F155" s="47" t="n">
        <v>624.339518805427</v>
      </c>
      <c r="G155" s="47" t="n">
        <v>3418.92008713173</v>
      </c>
      <c r="H155" s="48" t="n">
        <v>0.562325218660611</v>
      </c>
      <c r="I155" s="48" t="n">
        <v>0.582645641791417</v>
      </c>
      <c r="J155" s="47" t="n">
        <v>234826428.494633</v>
      </c>
    </row>
    <row r="156" customFormat="false" ht="15" hidden="false" customHeight="false" outlineLevel="0" collapsed="false">
      <c r="B156" s="41" t="n">
        <v>73</v>
      </c>
      <c r="C156" s="42" t="n">
        <v>0.0709800255338443</v>
      </c>
      <c r="D156" s="42" t="n">
        <v>0.079959918062567</v>
      </c>
      <c r="E156" s="42" t="n">
        <v>0.210515053861765</v>
      </c>
      <c r="F156" s="43" t="n">
        <v>665.745481557649</v>
      </c>
      <c r="G156" s="43" t="n">
        <v>2524.34336601799</v>
      </c>
      <c r="H156" s="44" t="n">
        <v>0.650339036068798</v>
      </c>
      <c r="I156" s="44" t="n">
        <v>0.496965457494336</v>
      </c>
      <c r="J156" s="43" t="n">
        <v>219437185.164019</v>
      </c>
    </row>
    <row r="157" customFormat="false" ht="15" hidden="false" customHeight="false" outlineLevel="0" collapsed="false">
      <c r="B157" s="45" t="n">
        <v>74</v>
      </c>
      <c r="C157" s="46" t="n">
        <v>0.0823242666632991</v>
      </c>
      <c r="D157" s="46" t="n">
        <v>0.106130591171224</v>
      </c>
      <c r="E157" s="46" t="n">
        <v>0.269055093106116</v>
      </c>
      <c r="F157" s="47" t="n">
        <v>607.739037126542</v>
      </c>
      <c r="G157" s="47" t="n">
        <v>2739.32421685388</v>
      </c>
      <c r="H157" s="48" t="n">
        <v>0.683903245439656</v>
      </c>
      <c r="I157" s="48" t="n">
        <v>0.544918159603109</v>
      </c>
      <c r="J157" s="47" t="n">
        <v>260734014.282854</v>
      </c>
    </row>
    <row r="158" customFormat="false" ht="15" hidden="false" customHeight="false" outlineLevel="0" collapsed="false">
      <c r="B158" s="41" t="n">
        <v>75</v>
      </c>
      <c r="C158" s="42" t="n">
        <v>0.0762037567870963</v>
      </c>
      <c r="D158" s="42" t="n">
        <v>0.0827508245078851</v>
      </c>
      <c r="E158" s="42" t="n">
        <v>0.213904353573532</v>
      </c>
      <c r="F158" s="43" t="n">
        <v>608.288394597424</v>
      </c>
      <c r="G158" s="43" t="n">
        <v>3423.32387963487</v>
      </c>
      <c r="H158" s="44" t="n">
        <v>0.682621484640748</v>
      </c>
      <c r="I158" s="44" t="n">
        <v>0.477947110920305</v>
      </c>
      <c r="J158" s="43" t="n">
        <v>322950517.399361</v>
      </c>
    </row>
    <row r="159" customFormat="false" ht="15" hidden="false" customHeight="false" outlineLevel="0" collapsed="false">
      <c r="B159" s="45" t="n">
        <v>76</v>
      </c>
      <c r="C159" s="46" t="n">
        <v>0.0631547887167492</v>
      </c>
      <c r="D159" s="46" t="n">
        <v>0.0924190770550789</v>
      </c>
      <c r="E159" s="46" t="n">
        <v>0.275221751806647</v>
      </c>
      <c r="F159" s="47" t="n">
        <v>625.898466417104</v>
      </c>
      <c r="G159" s="47" t="n">
        <v>2777.83137470299</v>
      </c>
      <c r="H159" s="48" t="n">
        <v>0.620824687123576</v>
      </c>
      <c r="I159" s="48" t="n">
        <v>0.63156396729623</v>
      </c>
      <c r="J159" s="47" t="n">
        <v>203878468.852182</v>
      </c>
    </row>
    <row r="160" customFormat="false" ht="15" hidden="false" customHeight="false" outlineLevel="0" collapsed="false">
      <c r="B160" s="41" t="n">
        <v>77</v>
      </c>
      <c r="C160" s="42" t="n">
        <v>0.101486001530769</v>
      </c>
      <c r="D160" s="42" t="n">
        <v>0.089819091307585</v>
      </c>
      <c r="E160" s="42" t="n">
        <v>0.252471099343992</v>
      </c>
      <c r="F160" s="43" t="n">
        <v>619.980618271948</v>
      </c>
      <c r="G160" s="43" t="n">
        <v>2252.12604335542</v>
      </c>
      <c r="H160" s="44" t="n">
        <v>0.621254251912344</v>
      </c>
      <c r="I160" s="44" t="n">
        <v>0.507604063492897</v>
      </c>
      <c r="J160" s="43" t="n">
        <v>268011196.045464</v>
      </c>
    </row>
    <row r="161" customFormat="false" ht="15" hidden="false" customHeight="false" outlineLevel="0" collapsed="false">
      <c r="B161" s="45" t="n">
        <v>78</v>
      </c>
      <c r="C161" s="46" t="n">
        <v>0.0976030678095365</v>
      </c>
      <c r="D161" s="46" t="n">
        <v>0.0803061856787671</v>
      </c>
      <c r="E161" s="46" t="n">
        <v>0.260464537780315</v>
      </c>
      <c r="F161" s="47" t="n">
        <v>589.947675799916</v>
      </c>
      <c r="G161" s="47" t="n">
        <v>2472.16477932247</v>
      </c>
      <c r="H161" s="48" t="n">
        <v>0.58529389483601</v>
      </c>
      <c r="I161" s="48" t="n">
        <v>0.505801043299561</v>
      </c>
      <c r="J161" s="47" t="n">
        <v>285551289.143959</v>
      </c>
    </row>
    <row r="162" customFormat="false" ht="15" hidden="false" customHeight="false" outlineLevel="0" collapsed="false">
      <c r="B162" s="41" t="n">
        <v>79</v>
      </c>
      <c r="C162" s="42" t="n">
        <v>0.0819303242798946</v>
      </c>
      <c r="D162" s="42" t="n">
        <v>0.118923211852932</v>
      </c>
      <c r="E162" s="42" t="n">
        <v>0.253798500174943</v>
      </c>
      <c r="F162" s="43" t="n">
        <v>787.331282453199</v>
      </c>
      <c r="G162" s="43" t="n">
        <v>2145.12020714458</v>
      </c>
      <c r="H162" s="44" t="n">
        <v>0.571829592604772</v>
      </c>
      <c r="I162" s="44" t="n">
        <v>0.495906911366509</v>
      </c>
      <c r="J162" s="43" t="n">
        <v>196463924.460332</v>
      </c>
    </row>
    <row r="163" customFormat="false" ht="15" hidden="false" customHeight="false" outlineLevel="0" collapsed="false">
      <c r="B163" s="45" t="n">
        <v>80</v>
      </c>
      <c r="C163" s="46" t="n">
        <v>0.0492441281755056</v>
      </c>
      <c r="D163" s="46" t="n">
        <v>0.130594164319146</v>
      </c>
      <c r="E163" s="46" t="n">
        <v>0.231594934954381</v>
      </c>
      <c r="F163" s="47" t="n">
        <v>648.123922240234</v>
      </c>
      <c r="G163" s="47" t="n">
        <v>2464.15520004359</v>
      </c>
      <c r="H163" s="48" t="n">
        <v>0.710681021018605</v>
      </c>
      <c r="I163" s="48" t="n">
        <v>0.455105627337155</v>
      </c>
      <c r="J163" s="47" t="n">
        <v>140385535.895903</v>
      </c>
    </row>
    <row r="164" customFormat="false" ht="15" hidden="false" customHeight="false" outlineLevel="0" collapsed="false">
      <c r="B164" s="41" t="n">
        <v>81</v>
      </c>
      <c r="C164" s="42" t="n">
        <v>0.105568346947728</v>
      </c>
      <c r="D164" s="42" t="n">
        <v>0.120821175070856</v>
      </c>
      <c r="E164" s="42" t="n">
        <v>0.29229651218335</v>
      </c>
      <c r="F164" s="43" t="n">
        <v>671.717532890177</v>
      </c>
      <c r="G164" s="43" t="n">
        <v>2425.95142834675</v>
      </c>
      <c r="H164" s="44" t="n">
        <v>0.73553310572175</v>
      </c>
      <c r="I164" s="44" t="n">
        <v>0.598667409311742</v>
      </c>
      <c r="J164" s="43" t="n">
        <v>282833517.449016</v>
      </c>
    </row>
    <row r="165" customFormat="false" ht="15" hidden="false" customHeight="false" outlineLevel="0" collapsed="false">
      <c r="B165" s="45" t="n">
        <v>82</v>
      </c>
      <c r="C165" s="46" t="n">
        <v>0.102996545245232</v>
      </c>
      <c r="D165" s="46" t="n">
        <v>0.0916359669503067</v>
      </c>
      <c r="E165" s="46" t="n">
        <v>0.29024551376926</v>
      </c>
      <c r="F165" s="47" t="n">
        <v>661.488304575043</v>
      </c>
      <c r="G165" s="47" t="n">
        <v>2321.85609329599</v>
      </c>
      <c r="H165" s="48" t="n">
        <v>0.672010717374747</v>
      </c>
      <c r="I165" s="48" t="n">
        <v>0.528576316721534</v>
      </c>
      <c r="J165" s="47" t="n">
        <v>270707999.051173</v>
      </c>
    </row>
    <row r="166" customFormat="false" ht="15" hidden="false" customHeight="false" outlineLevel="0" collapsed="false">
      <c r="B166" s="41" t="n">
        <v>83</v>
      </c>
      <c r="C166" s="42" t="n">
        <v>0.0672668853279081</v>
      </c>
      <c r="D166" s="42" t="n">
        <v>0.125199833922212</v>
      </c>
      <c r="E166" s="42" t="n">
        <v>0.235237825900415</v>
      </c>
      <c r="F166" s="43" t="n">
        <v>615.264388631621</v>
      </c>
      <c r="G166" s="43" t="n">
        <v>2598.04785245685</v>
      </c>
      <c r="H166" s="44" t="n">
        <v>0.652085683943081</v>
      </c>
      <c r="I166" s="44" t="n">
        <v>0.487979037511296</v>
      </c>
      <c r="J166" s="43" t="n">
        <v>203712563.853695</v>
      </c>
    </row>
    <row r="167" customFormat="false" ht="15" hidden="false" customHeight="false" outlineLevel="0" collapsed="false">
      <c r="B167" s="45" t="n">
        <v>84</v>
      </c>
      <c r="C167" s="46" t="n">
        <v>0.0815846359667865</v>
      </c>
      <c r="D167" s="46" t="n">
        <v>0.105279471160523</v>
      </c>
      <c r="E167" s="46" t="n">
        <v>0.248439141682247</v>
      </c>
      <c r="F167" s="47" t="n">
        <v>585.54237103599</v>
      </c>
      <c r="G167" s="47" t="n">
        <v>1835.55368008641</v>
      </c>
      <c r="H167" s="48" t="n">
        <v>0.704913433867074</v>
      </c>
      <c r="I167" s="48" t="n">
        <v>0.520906018435956</v>
      </c>
      <c r="J167" s="47" t="n">
        <v>172228468.056876</v>
      </c>
    </row>
    <row r="168" customFormat="false" ht="15" hidden="false" customHeight="false" outlineLevel="0" collapsed="false">
      <c r="B168" s="41" t="n">
        <v>85</v>
      </c>
      <c r="C168" s="42" t="n">
        <v>0.104086417421225</v>
      </c>
      <c r="D168" s="42" t="n">
        <v>0.13382617217102</v>
      </c>
      <c r="E168" s="42" t="n">
        <v>0.222482319583937</v>
      </c>
      <c r="F168" s="43" t="n">
        <v>802.863296692132</v>
      </c>
      <c r="G168" s="43" t="n">
        <v>3582.70780435846</v>
      </c>
      <c r="H168" s="44" t="n">
        <v>0.484467350380006</v>
      </c>
      <c r="I168" s="44" t="n">
        <v>0.599377858859273</v>
      </c>
      <c r="J168" s="43" t="n">
        <v>437381486.574782</v>
      </c>
    </row>
    <row r="169" customFormat="false" ht="15" hidden="false" customHeight="false" outlineLevel="0" collapsed="false">
      <c r="B169" s="45" t="n">
        <v>86</v>
      </c>
      <c r="C169" s="46" t="n">
        <v>0.0758018605655972</v>
      </c>
      <c r="D169" s="46" t="n">
        <v>0.0929012732748694</v>
      </c>
      <c r="E169" s="46" t="n">
        <v>0.167661564762526</v>
      </c>
      <c r="F169" s="47" t="n">
        <v>591.919137828466</v>
      </c>
      <c r="G169" s="47" t="n">
        <v>2435.30569564615</v>
      </c>
      <c r="H169" s="48" t="n">
        <v>0.716533451675129</v>
      </c>
      <c r="I169" s="48" t="n">
        <v>0.536567189857876</v>
      </c>
      <c r="J169" s="47" t="n">
        <v>232057680.064876</v>
      </c>
    </row>
    <row r="170" customFormat="false" ht="15" hidden="false" customHeight="false" outlineLevel="0" collapsed="false">
      <c r="B170" s="41" t="n">
        <v>87</v>
      </c>
      <c r="C170" s="42" t="n">
        <v>0.0849381488705939</v>
      </c>
      <c r="D170" s="42" t="n">
        <v>0.0866707418717066</v>
      </c>
      <c r="E170" s="42" t="n">
        <v>0.232993452250005</v>
      </c>
      <c r="F170" s="43" t="n">
        <v>597.483128095411</v>
      </c>
      <c r="G170" s="43" t="n">
        <v>2498.40752445103</v>
      </c>
      <c r="H170" s="44" t="n">
        <v>0.640651147304323</v>
      </c>
      <c r="I170" s="44" t="n">
        <v>0.524654235968077</v>
      </c>
      <c r="J170" s="43" t="n">
        <v>255271179.744068</v>
      </c>
    </row>
    <row r="171" customFormat="false" ht="15" hidden="false" customHeight="false" outlineLevel="0" collapsed="false">
      <c r="B171" s="45" t="n">
        <v>88</v>
      </c>
      <c r="C171" s="46" t="n">
        <v>0.0702483364353707</v>
      </c>
      <c r="D171" s="46" t="n">
        <v>0.100035861523961</v>
      </c>
      <c r="E171" s="46" t="n">
        <v>0.296455278491954</v>
      </c>
      <c r="F171" s="47" t="n">
        <v>850.438025038769</v>
      </c>
      <c r="G171" s="47" t="n">
        <v>3247.39240988794</v>
      </c>
      <c r="H171" s="48" t="n">
        <v>0.686802060493412</v>
      </c>
      <c r="I171" s="48" t="n">
        <v>0.610709239726741</v>
      </c>
      <c r="J171" s="47" t="n">
        <v>256583701.020479</v>
      </c>
    </row>
    <row r="172" customFormat="false" ht="15" hidden="false" customHeight="false" outlineLevel="0" collapsed="false">
      <c r="B172" s="41" t="n">
        <v>89</v>
      </c>
      <c r="C172" s="42" t="n">
        <v>0.0890090617979131</v>
      </c>
      <c r="D172" s="42" t="n">
        <v>0.0946912191591923</v>
      </c>
      <c r="E172" s="42" t="n">
        <v>0.252900693822321</v>
      </c>
      <c r="F172" s="43" t="n">
        <v>627.900147687032</v>
      </c>
      <c r="G172" s="43" t="n">
        <v>2770.09697408259</v>
      </c>
      <c r="H172" s="44" t="n">
        <v>0.643121745649423</v>
      </c>
      <c r="I172" s="44" t="n">
        <v>0.621304849659689</v>
      </c>
      <c r="J172" s="43" t="n">
        <v>290998057.499681</v>
      </c>
    </row>
    <row r="173" customFormat="false" ht="15" hidden="false" customHeight="false" outlineLevel="0" collapsed="false">
      <c r="B173" s="45" t="n">
        <v>90</v>
      </c>
      <c r="C173" s="46" t="n">
        <v>0.0719548087581223</v>
      </c>
      <c r="D173" s="46" t="n">
        <v>0.0735601812603983</v>
      </c>
      <c r="E173" s="46" t="n">
        <v>0.19245032742593</v>
      </c>
      <c r="F173" s="47" t="n">
        <v>698.790563016568</v>
      </c>
      <c r="G173" s="47" t="n">
        <v>2311.18803703993</v>
      </c>
      <c r="H173" s="48" t="n">
        <v>0.733971766781575</v>
      </c>
      <c r="I173" s="48" t="n">
        <v>0.432936455386951</v>
      </c>
      <c r="J173" s="47" t="n">
        <v>206241737.126896</v>
      </c>
    </row>
    <row r="174" customFormat="false" ht="15" hidden="false" customHeight="false" outlineLevel="0" collapsed="false">
      <c r="B174" s="41" t="n">
        <v>91</v>
      </c>
      <c r="C174" s="42" t="n">
        <v>0.0788187346129182</v>
      </c>
      <c r="D174" s="42" t="n">
        <v>0.0872399221426879</v>
      </c>
      <c r="E174" s="42" t="n">
        <v>0.261269000552865</v>
      </c>
      <c r="F174" s="43" t="n">
        <v>655.23657349738</v>
      </c>
      <c r="G174" s="43" t="n">
        <v>2370.17545286811</v>
      </c>
      <c r="H174" s="44" t="n">
        <v>0.562765422685806</v>
      </c>
      <c r="I174" s="44" t="n">
        <v>0.471693948700117</v>
      </c>
      <c r="J174" s="43" t="n">
        <v>217892489.530548</v>
      </c>
    </row>
    <row r="175" customFormat="false" ht="15" hidden="false" customHeight="false" outlineLevel="0" collapsed="false">
      <c r="B175" s="45" t="n">
        <v>92</v>
      </c>
      <c r="C175" s="46" t="n">
        <v>0.0866160412853004</v>
      </c>
      <c r="D175" s="46" t="n">
        <v>0.115891039009976</v>
      </c>
      <c r="E175" s="46" t="n">
        <v>0.280484134499393</v>
      </c>
      <c r="F175" s="47" t="n">
        <v>693.493173450628</v>
      </c>
      <c r="G175" s="47" t="n">
        <v>3049.28279411821</v>
      </c>
      <c r="H175" s="48" t="n">
        <v>0.688452131239905</v>
      </c>
      <c r="I175" s="48" t="n">
        <v>0.581901423402319</v>
      </c>
      <c r="J175" s="47" t="n">
        <v>299801209.513574</v>
      </c>
    </row>
    <row r="176" customFormat="false" ht="15" hidden="false" customHeight="false" outlineLevel="0" collapsed="false">
      <c r="B176" s="41" t="n">
        <v>93</v>
      </c>
      <c r="C176" s="42" t="n">
        <v>0.0862642257822397</v>
      </c>
      <c r="D176" s="42" t="n">
        <v>0.0729577610526204</v>
      </c>
      <c r="E176" s="42" t="n">
        <v>0.227417123114755</v>
      </c>
      <c r="F176" s="43" t="n">
        <v>929.297308878231</v>
      </c>
      <c r="G176" s="43" t="n">
        <v>3135.36963856866</v>
      </c>
      <c r="H176" s="44" t="n">
        <v>0.744454945125663</v>
      </c>
      <c r="I176" s="44" t="n">
        <v>0.512061047530863</v>
      </c>
      <c r="J176" s="43" t="n">
        <v>326713812.749298</v>
      </c>
    </row>
    <row r="177" customFormat="false" ht="15" hidden="false" customHeight="false" outlineLevel="0" collapsed="false">
      <c r="B177" s="45" t="n">
        <v>94</v>
      </c>
      <c r="C177" s="46" t="n">
        <v>0.0951518129823634</v>
      </c>
      <c r="D177" s="46" t="n">
        <v>0.071239340229897</v>
      </c>
      <c r="E177" s="46" t="n">
        <v>0.186964032874311</v>
      </c>
      <c r="F177" s="47" t="n">
        <v>604.915230421066</v>
      </c>
      <c r="G177" s="47" t="n">
        <v>2264.79552263497</v>
      </c>
      <c r="H177" s="48" t="n">
        <v>0.569804468592548</v>
      </c>
      <c r="I177" s="48" t="n">
        <v>0.544081258643056</v>
      </c>
      <c r="J177" s="47" t="n">
        <v>270370692.500299</v>
      </c>
    </row>
    <row r="178" customFormat="false" ht="15" hidden="false" customHeight="false" outlineLevel="0" collapsed="false">
      <c r="B178" s="41" t="n">
        <v>95</v>
      </c>
      <c r="C178" s="42" t="n">
        <v>0.0836876660433309</v>
      </c>
      <c r="D178" s="42" t="n">
        <v>0.0625417028749528</v>
      </c>
      <c r="E178" s="42" t="n">
        <v>0.236372971026912</v>
      </c>
      <c r="F178" s="43" t="n">
        <v>787.874236330478</v>
      </c>
      <c r="G178" s="43" t="n">
        <v>3230.92596978155</v>
      </c>
      <c r="H178" s="44" t="n">
        <v>0.473915164754295</v>
      </c>
      <c r="I178" s="44" t="n">
        <v>0.513918558247589</v>
      </c>
      <c r="J178" s="43" t="n">
        <v>330183844.126052</v>
      </c>
    </row>
    <row r="179" customFormat="false" ht="15" hidden="false" customHeight="false" outlineLevel="0" collapsed="false">
      <c r="B179" s="45" t="n">
        <v>96</v>
      </c>
      <c r="C179" s="46" t="n">
        <v>0.0643834137409446</v>
      </c>
      <c r="D179" s="46" t="n">
        <v>0.108383045408771</v>
      </c>
      <c r="E179" s="46" t="n">
        <v>0.286519812607639</v>
      </c>
      <c r="F179" s="47" t="n">
        <v>802.235838041534</v>
      </c>
      <c r="G179" s="47" t="n">
        <v>1863.23389746933</v>
      </c>
      <c r="H179" s="48" t="n">
        <v>0.78623564825835</v>
      </c>
      <c r="I179" s="48" t="n">
        <v>0.600655699638699</v>
      </c>
      <c r="J179" s="47" t="n">
        <v>129114474.340293</v>
      </c>
    </row>
    <row r="180" customFormat="false" ht="15" hidden="false" customHeight="false" outlineLevel="0" collapsed="false">
      <c r="B180" s="41" t="n">
        <v>97</v>
      </c>
      <c r="C180" s="42" t="n">
        <v>0.0903458937566749</v>
      </c>
      <c r="D180" s="42" t="n">
        <v>0.0858644583537463</v>
      </c>
      <c r="E180" s="42" t="n">
        <v>0.223826014845071</v>
      </c>
      <c r="F180" s="43" t="n">
        <v>790.10446251986</v>
      </c>
      <c r="G180" s="43" t="n">
        <v>3321.08731168628</v>
      </c>
      <c r="H180" s="44" t="n">
        <v>0.789074916102234</v>
      </c>
      <c r="I180" s="44" t="n">
        <v>0.610972502193577</v>
      </c>
      <c r="J180" s="43" t="n">
        <v>363798816.473956</v>
      </c>
    </row>
    <row r="181" customFormat="false" ht="15" hidden="false" customHeight="false" outlineLevel="0" collapsed="false">
      <c r="B181" s="45" t="n">
        <v>98</v>
      </c>
      <c r="C181" s="46" t="n">
        <v>0.082412563540441</v>
      </c>
      <c r="D181" s="46" t="n">
        <v>0.121600228232682</v>
      </c>
      <c r="E181" s="46" t="n">
        <v>0.232337580278654</v>
      </c>
      <c r="F181" s="47" t="n">
        <v>920.361241814237</v>
      </c>
      <c r="G181" s="47" t="n">
        <v>2682.64682674641</v>
      </c>
      <c r="H181" s="48" t="n">
        <v>0.719597965491317</v>
      </c>
      <c r="I181" s="48" t="n">
        <v>0.547155601565163</v>
      </c>
      <c r="J181" s="47" t="n">
        <v>252803806.750566</v>
      </c>
    </row>
    <row r="182" customFormat="false" ht="15" hidden="false" customHeight="false" outlineLevel="0" collapsed="false">
      <c r="B182" s="41" t="n">
        <v>99</v>
      </c>
      <c r="C182" s="42" t="n">
        <v>0.0916606420588965</v>
      </c>
      <c r="D182" s="42" t="n">
        <v>0.0893037674895017</v>
      </c>
      <c r="E182" s="42" t="n">
        <v>0.254400014631196</v>
      </c>
      <c r="F182" s="43" t="n">
        <v>459.95582062681</v>
      </c>
      <c r="G182" s="43" t="n">
        <v>3222.17050500352</v>
      </c>
      <c r="H182" s="44" t="n">
        <v>0.574280040951519</v>
      </c>
      <c r="I182" s="44" t="n">
        <v>0.575094986657391</v>
      </c>
      <c r="J182" s="43" t="n">
        <v>356017743.172996</v>
      </c>
    </row>
    <row r="183" customFormat="false" ht="15" hidden="false" customHeight="false" outlineLevel="0" collapsed="false">
      <c r="B183" s="45" t="n">
        <v>100</v>
      </c>
      <c r="C183" s="46" t="n">
        <v>0.0863176691922786</v>
      </c>
      <c r="D183" s="46" t="n">
        <v>0.134431253496898</v>
      </c>
      <c r="E183" s="46" t="n">
        <v>0.229900898119648</v>
      </c>
      <c r="F183" s="47" t="n">
        <v>528.163999726747</v>
      </c>
      <c r="G183" s="47" t="n">
        <v>2826.93688423484</v>
      </c>
      <c r="H183" s="48" t="n">
        <v>0.655209579266211</v>
      </c>
      <c r="I183" s="48" t="n">
        <v>0.531811792096228</v>
      </c>
      <c r="J183" s="47" t="n">
        <v>286887734.471137</v>
      </c>
    </row>
  </sheetData>
  <mergeCells count="6">
    <mergeCell ref="B2:J2"/>
    <mergeCell ref="B3:J3"/>
    <mergeCell ref="B5:J5"/>
    <mergeCell ref="B16:J16"/>
    <mergeCell ref="B32:J32"/>
    <mergeCell ref="B82:J8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11" min="3" style="0" width="14"/>
  </cols>
  <sheetData>
    <row r="2" customFormat="false" ht="31.5" hidden="false" customHeight="true" outlineLevel="0" collapsed="false">
      <c r="B2" s="32" t="s">
        <v>190</v>
      </c>
      <c r="C2" s="32"/>
      <c r="D2" s="32"/>
      <c r="E2" s="32"/>
      <c r="F2" s="32"/>
      <c r="G2" s="32"/>
      <c r="H2" s="32"/>
      <c r="I2" s="32"/>
      <c r="J2" s="32"/>
      <c r="K2" s="32"/>
    </row>
    <row r="3" customFormat="false" ht="15" hidden="false" customHeight="true" outlineLevel="0" collapsed="false">
      <c r="B3" s="39" t="s">
        <v>191</v>
      </c>
      <c r="C3" s="39"/>
      <c r="D3" s="39"/>
      <c r="E3" s="39"/>
      <c r="F3" s="39"/>
      <c r="G3" s="39"/>
      <c r="H3" s="39"/>
      <c r="I3" s="39"/>
      <c r="J3" s="39"/>
      <c r="K3" s="39"/>
    </row>
    <row r="5" customFormat="false" ht="21.75" hidden="false" customHeight="true" outlineLevel="0" collapsed="false">
      <c r="B5" s="3" t="s">
        <v>192</v>
      </c>
      <c r="C5" s="3"/>
      <c r="D5" s="3"/>
      <c r="E5" s="3"/>
      <c r="F5" s="3"/>
      <c r="G5" s="3"/>
      <c r="H5" s="3"/>
      <c r="I5" s="3"/>
      <c r="J5" s="3"/>
      <c r="K5" s="3"/>
    </row>
    <row r="6" customFormat="false" ht="19.5" hidden="false" customHeight="true" outlineLevel="0" collapsed="false">
      <c r="B6" s="13" t="s">
        <v>110</v>
      </c>
      <c r="C6" s="13" t="s">
        <v>193</v>
      </c>
      <c r="D6" s="13" t="s">
        <v>194</v>
      </c>
      <c r="E6" s="13" t="s">
        <v>195</v>
      </c>
      <c r="F6" s="13" t="s">
        <v>196</v>
      </c>
      <c r="G6" s="13" t="s">
        <v>197</v>
      </c>
      <c r="H6" s="13" t="s">
        <v>198</v>
      </c>
      <c r="I6" s="13" t="s">
        <v>116</v>
      </c>
    </row>
    <row r="7" customFormat="false" ht="21.75" hidden="false" customHeight="true" outlineLevel="0" collapsed="false">
      <c r="B7" s="49" t="s">
        <v>199</v>
      </c>
      <c r="C7" s="50" t="n">
        <v>0.805196765080353</v>
      </c>
      <c r="D7" s="50" t="n">
        <v>1.02415004481033E-228</v>
      </c>
      <c r="E7" s="50" t="n">
        <v>0.789127641127641</v>
      </c>
      <c r="F7" s="50" t="n">
        <v>1.81420281054027E-213</v>
      </c>
      <c r="G7" s="51" t="n">
        <v>0.648341830495865</v>
      </c>
      <c r="H7" s="52" t="s">
        <v>200</v>
      </c>
      <c r="I7" s="52" t="s">
        <v>201</v>
      </c>
    </row>
    <row r="8" customFormat="false" ht="21.75" hidden="false" customHeight="true" outlineLevel="0" collapsed="false">
      <c r="B8" s="49" t="s">
        <v>182</v>
      </c>
      <c r="C8" s="50" t="n">
        <v>0.544155216953448</v>
      </c>
      <c r="D8" s="50" t="n">
        <v>3.73232848438832E-078</v>
      </c>
      <c r="E8" s="50" t="n">
        <v>0.539320439320439</v>
      </c>
      <c r="F8" s="50" t="n">
        <v>1.52275036948E-076</v>
      </c>
      <c r="G8" s="51" t="n">
        <v>0.296104900137654</v>
      </c>
      <c r="H8" s="52" t="s">
        <v>200</v>
      </c>
      <c r="I8" s="52" t="s">
        <v>201</v>
      </c>
    </row>
    <row r="9" customFormat="false" ht="21.75" hidden="false" customHeight="true" outlineLevel="0" collapsed="false">
      <c r="B9" s="35" t="s">
        <v>202</v>
      </c>
      <c r="C9" s="53" t="n">
        <v>-0.0904786582823755</v>
      </c>
      <c r="D9" s="53" t="n">
        <v>0.00419011566951984</v>
      </c>
      <c r="E9" s="53" t="n">
        <v>-0.0960469200469201</v>
      </c>
      <c r="F9" s="53" t="n">
        <v>0.00236183150660879</v>
      </c>
      <c r="G9" s="37" t="n">
        <v>0.00818638760457888</v>
      </c>
      <c r="H9" s="17" t="s">
        <v>203</v>
      </c>
      <c r="I9" s="17" t="s">
        <v>204</v>
      </c>
    </row>
    <row r="10" customFormat="false" ht="21.75" hidden="false" customHeight="true" outlineLevel="0" collapsed="false">
      <c r="B10" s="21" t="s">
        <v>205</v>
      </c>
      <c r="C10" s="54" t="n">
        <v>-0.0742318135188593</v>
      </c>
      <c r="D10" s="54" t="n">
        <v>0.0188887259779813</v>
      </c>
      <c r="E10" s="54" t="n">
        <v>-0.0674453234453235</v>
      </c>
      <c r="F10" s="54" t="n">
        <v>0.0329600595467093</v>
      </c>
      <c r="G10" s="34" t="n">
        <v>0.0055103621382987</v>
      </c>
      <c r="H10" s="23" t="s">
        <v>203</v>
      </c>
      <c r="I10" s="23" t="s">
        <v>204</v>
      </c>
    </row>
    <row r="11" customFormat="false" ht="21.75" hidden="false" customHeight="true" outlineLevel="0" collapsed="false">
      <c r="B11" s="35" t="s">
        <v>187</v>
      </c>
      <c r="C11" s="53" t="n">
        <v>-0.0285898245201679</v>
      </c>
      <c r="D11" s="53" t="n">
        <v>0.366449748567556</v>
      </c>
      <c r="E11" s="53" t="n">
        <v>-0.0178912978912979</v>
      </c>
      <c r="F11" s="53" t="n">
        <v>0.571998862583599</v>
      </c>
      <c r="G11" s="37" t="n">
        <v>0.000817378066093994</v>
      </c>
      <c r="H11" s="17" t="s">
        <v>203</v>
      </c>
      <c r="I11" s="17" t="s">
        <v>204</v>
      </c>
    </row>
    <row r="12" customFormat="false" ht="21.75" hidden="false" customHeight="true" outlineLevel="0" collapsed="false">
      <c r="B12" s="21" t="s">
        <v>188</v>
      </c>
      <c r="C12" s="54" t="n">
        <v>-0.0134352557340082</v>
      </c>
      <c r="D12" s="54" t="n">
        <v>0.671312138723591</v>
      </c>
      <c r="E12" s="54" t="n">
        <v>-0.0028952188952189</v>
      </c>
      <c r="F12" s="54" t="n">
        <v>0.927142548391979</v>
      </c>
      <c r="G12" s="34" t="n">
        <v>0.000180506096638199</v>
      </c>
      <c r="H12" s="23" t="s">
        <v>203</v>
      </c>
      <c r="I12" s="23" t="s">
        <v>204</v>
      </c>
    </row>
    <row r="13" customFormat="false" ht="21.75" hidden="false" customHeight="true" outlineLevel="0" collapsed="false">
      <c r="B13" s="35" t="s">
        <v>206</v>
      </c>
      <c r="C13" s="53" t="n">
        <v>-0.006696919920426</v>
      </c>
      <c r="D13" s="53" t="n">
        <v>0.832487220921888</v>
      </c>
      <c r="E13" s="53" t="n">
        <v>-0.0133037773037773</v>
      </c>
      <c r="F13" s="53" t="n">
        <v>0.674343158948299</v>
      </c>
      <c r="G13" s="37" t="n">
        <v>4.48487364205986E-005</v>
      </c>
      <c r="H13" s="17" t="s">
        <v>203</v>
      </c>
      <c r="I13" s="17" t="s">
        <v>204</v>
      </c>
    </row>
    <row r="15" customFormat="false" ht="15" hidden="false" customHeight="true" outlineLevel="0" collapsed="false">
      <c r="B15" s="38" t="s">
        <v>207</v>
      </c>
      <c r="C15" s="38"/>
      <c r="D15" s="38"/>
      <c r="E15" s="38"/>
      <c r="F15" s="38"/>
      <c r="G15" s="38"/>
      <c r="H15" s="38"/>
      <c r="I15" s="38"/>
      <c r="J15" s="38"/>
      <c r="K15" s="38"/>
    </row>
    <row r="18" customFormat="false" ht="21.75" hidden="false" customHeight="true" outlineLevel="0" collapsed="false">
      <c r="B18" s="3" t="s">
        <v>208</v>
      </c>
      <c r="C18" s="3"/>
      <c r="D18" s="3"/>
      <c r="E18" s="3"/>
      <c r="F18" s="3"/>
      <c r="G18" s="3"/>
      <c r="H18" s="3"/>
      <c r="I18" s="3"/>
      <c r="J18" s="3"/>
      <c r="K18" s="3"/>
    </row>
    <row r="19" customFormat="false" ht="15" hidden="false" customHeight="false" outlineLevel="0" collapsed="false">
      <c r="B19" s="7"/>
      <c r="C19" s="7" t="s">
        <v>182</v>
      </c>
      <c r="D19" s="7" t="s">
        <v>202</v>
      </c>
      <c r="E19" s="7" t="s">
        <v>205</v>
      </c>
      <c r="F19" s="7" t="s">
        <v>206</v>
      </c>
      <c r="G19" s="7" t="s">
        <v>199</v>
      </c>
      <c r="H19" s="7" t="s">
        <v>187</v>
      </c>
      <c r="I19" s="7" t="s">
        <v>188</v>
      </c>
    </row>
    <row r="20" customFormat="false" ht="21.75" hidden="false" customHeight="true" outlineLevel="0" collapsed="false">
      <c r="B20" s="7" t="s">
        <v>182</v>
      </c>
      <c r="C20" s="55" t="n">
        <v>1</v>
      </c>
      <c r="D20" s="56" t="n">
        <v>0.0311918192029791</v>
      </c>
      <c r="E20" s="57" t="n">
        <v>0.0266933273189535</v>
      </c>
      <c r="F20" s="56" t="n">
        <v>0.0286117534660498</v>
      </c>
      <c r="G20" s="57" t="n">
        <v>-0.018363109868093</v>
      </c>
      <c r="H20" s="56" t="n">
        <v>-0.0303906477850416</v>
      </c>
      <c r="I20" s="57" t="n">
        <v>0.0365334820891965</v>
      </c>
    </row>
    <row r="21" customFormat="false" ht="21.75" hidden="false" customHeight="true" outlineLevel="0" collapsed="false">
      <c r="B21" s="7" t="s">
        <v>202</v>
      </c>
      <c r="C21" s="56" t="n">
        <v>0.0311918192029791</v>
      </c>
      <c r="D21" s="55" t="n">
        <v>1</v>
      </c>
      <c r="E21" s="56" t="n">
        <v>-0.036498669480002</v>
      </c>
      <c r="F21" s="57" t="n">
        <v>-0.0209890635026093</v>
      </c>
      <c r="G21" s="56" t="n">
        <v>-0.0501963644756355</v>
      </c>
      <c r="H21" s="57" t="n">
        <v>0.0375613909825524</v>
      </c>
      <c r="I21" s="56" t="n">
        <v>0.0240573795698116</v>
      </c>
    </row>
    <row r="22" customFormat="false" ht="21.75" hidden="false" customHeight="true" outlineLevel="0" collapsed="false">
      <c r="B22" s="7" t="s">
        <v>205</v>
      </c>
      <c r="C22" s="57" t="n">
        <v>0.0266933273189535</v>
      </c>
      <c r="D22" s="56" t="n">
        <v>-0.036498669480002</v>
      </c>
      <c r="E22" s="55" t="n">
        <v>1</v>
      </c>
      <c r="F22" s="56" t="n">
        <v>0.0297029381273866</v>
      </c>
      <c r="G22" s="57" t="n">
        <v>0.0456167629815216</v>
      </c>
      <c r="H22" s="56" t="n">
        <v>-0.0232399549571913</v>
      </c>
      <c r="I22" s="57" t="n">
        <v>0.0183058417920023</v>
      </c>
    </row>
    <row r="23" customFormat="false" ht="21.75" hidden="false" customHeight="true" outlineLevel="0" collapsed="false">
      <c r="B23" s="7" t="s">
        <v>206</v>
      </c>
      <c r="C23" s="56" t="n">
        <v>0.0286117534660498</v>
      </c>
      <c r="D23" s="57" t="n">
        <v>-0.0209890635026093</v>
      </c>
      <c r="E23" s="56" t="n">
        <v>0.0297029381273866</v>
      </c>
      <c r="F23" s="55" t="n">
        <v>1</v>
      </c>
      <c r="G23" s="56" t="n">
        <v>0.0292473900124314</v>
      </c>
      <c r="H23" s="57" t="n">
        <v>-0.00687893389709173</v>
      </c>
      <c r="I23" s="56" t="n">
        <v>0.0401750478062889</v>
      </c>
    </row>
    <row r="24" customFormat="false" ht="21.75" hidden="false" customHeight="true" outlineLevel="0" collapsed="false">
      <c r="B24" s="7" t="s">
        <v>199</v>
      </c>
      <c r="C24" s="57" t="n">
        <v>-0.018363109868093</v>
      </c>
      <c r="D24" s="56" t="n">
        <v>-0.0501963644756355</v>
      </c>
      <c r="E24" s="57" t="n">
        <v>0.0456167629815216</v>
      </c>
      <c r="F24" s="56" t="n">
        <v>0.0292473900124314</v>
      </c>
      <c r="G24" s="55" t="n">
        <v>1</v>
      </c>
      <c r="H24" s="56" t="n">
        <v>-0.0130390267925109</v>
      </c>
      <c r="I24" s="57" t="n">
        <v>-0.0302827011505746</v>
      </c>
    </row>
    <row r="25" customFormat="false" ht="21.75" hidden="false" customHeight="true" outlineLevel="0" collapsed="false">
      <c r="B25" s="7" t="s">
        <v>187</v>
      </c>
      <c r="C25" s="56" t="n">
        <v>-0.0303906477850416</v>
      </c>
      <c r="D25" s="57" t="n">
        <v>0.0375613909825524</v>
      </c>
      <c r="E25" s="56" t="n">
        <v>-0.0232399549571913</v>
      </c>
      <c r="F25" s="57" t="n">
        <v>-0.00687893389709174</v>
      </c>
      <c r="G25" s="56" t="n">
        <v>-0.0130390267925109</v>
      </c>
      <c r="H25" s="55" t="n">
        <v>1</v>
      </c>
      <c r="I25" s="56" t="n">
        <v>-0.00768670258779567</v>
      </c>
    </row>
    <row r="26" customFormat="false" ht="21.75" hidden="false" customHeight="true" outlineLevel="0" collapsed="false">
      <c r="B26" s="7" t="s">
        <v>188</v>
      </c>
      <c r="C26" s="57" t="n">
        <v>0.0365334820891965</v>
      </c>
      <c r="D26" s="56" t="n">
        <v>0.0240573795698116</v>
      </c>
      <c r="E26" s="57" t="n">
        <v>0.0183058417920023</v>
      </c>
      <c r="F26" s="56" t="n">
        <v>0.040175047806289</v>
      </c>
      <c r="G26" s="57" t="n">
        <v>-0.0302827011505746</v>
      </c>
      <c r="H26" s="56" t="n">
        <v>-0.00768670258779568</v>
      </c>
      <c r="I26" s="55" t="n">
        <v>1</v>
      </c>
    </row>
    <row r="30" customFormat="false" ht="21.75" hidden="false" customHeight="true" outlineLevel="0" collapsed="false">
      <c r="B30" s="3" t="s">
        <v>209</v>
      </c>
      <c r="C30" s="3"/>
      <c r="D30" s="3"/>
      <c r="E30" s="3"/>
      <c r="F30" s="3"/>
      <c r="G30" s="3"/>
      <c r="H30" s="3"/>
      <c r="I30" s="3"/>
      <c r="J30" s="3"/>
      <c r="K30" s="3"/>
    </row>
    <row r="31" customFormat="false" ht="23.85" hidden="false" customHeight="false" outlineLevel="0" collapsed="false">
      <c r="B31" s="13" t="s">
        <v>210</v>
      </c>
      <c r="C31" s="13" t="s">
        <v>211</v>
      </c>
      <c r="D31" s="13" t="s">
        <v>212</v>
      </c>
      <c r="E31" s="13" t="s">
        <v>213</v>
      </c>
      <c r="F31" s="13" t="s">
        <v>214</v>
      </c>
      <c r="G31" s="13" t="s">
        <v>215</v>
      </c>
    </row>
    <row r="32" customFormat="false" ht="25.5" hidden="false" customHeight="true" outlineLevel="0" collapsed="false">
      <c r="B32" s="58" t="s">
        <v>216</v>
      </c>
      <c r="C32" s="59" t="n">
        <v>5</v>
      </c>
      <c r="D32" s="60" t="n">
        <v>152474800.805116</v>
      </c>
      <c r="E32" s="60" t="n">
        <v>-78168438.3119593</v>
      </c>
      <c r="F32" s="61" t="n">
        <v>-0.338914934646234</v>
      </c>
      <c r="G32" s="62" t="s">
        <v>217</v>
      </c>
    </row>
    <row r="33" customFormat="false" ht="25.5" hidden="false" customHeight="true" outlineLevel="0" collapsed="false">
      <c r="B33" s="63" t="s">
        <v>218</v>
      </c>
      <c r="C33" s="64" t="n">
        <v>25</v>
      </c>
      <c r="D33" s="65" t="n">
        <v>194084651.644343</v>
      </c>
      <c r="E33" s="65" t="n">
        <v>-36558587.4727323</v>
      </c>
      <c r="F33" s="66" t="n">
        <v>-0.158507084849667</v>
      </c>
      <c r="G33" s="67" t="s">
        <v>219</v>
      </c>
    </row>
    <row r="34" customFormat="false" ht="25.5" hidden="false" customHeight="true" outlineLevel="0" collapsed="false">
      <c r="B34" s="68" t="s">
        <v>220</v>
      </c>
      <c r="C34" s="69" t="n">
        <v>50</v>
      </c>
      <c r="D34" s="70" t="n">
        <v>230643239.117075</v>
      </c>
      <c r="E34" s="70" t="n">
        <v>0</v>
      </c>
      <c r="F34" s="71" t="n">
        <v>0</v>
      </c>
      <c r="G34" s="72" t="s">
        <v>221</v>
      </c>
    </row>
    <row r="35" customFormat="false" ht="25.5" hidden="false" customHeight="true" outlineLevel="0" collapsed="false">
      <c r="B35" s="49" t="s">
        <v>222</v>
      </c>
      <c r="C35" s="73" t="n">
        <v>75</v>
      </c>
      <c r="D35" s="74" t="n">
        <v>268733928.870625</v>
      </c>
      <c r="E35" s="74" t="n">
        <v>38090689.7535495</v>
      </c>
      <c r="F35" s="51" t="n">
        <v>0.165149821427085</v>
      </c>
      <c r="G35" s="75" t="s">
        <v>223</v>
      </c>
    </row>
    <row r="36" customFormat="false" ht="25.5" hidden="false" customHeight="true" outlineLevel="0" collapsed="false">
      <c r="B36" s="76" t="s">
        <v>224</v>
      </c>
      <c r="C36" s="77" t="n">
        <v>95</v>
      </c>
      <c r="D36" s="78" t="n">
        <v>350163751.021815</v>
      </c>
      <c r="E36" s="78" t="n">
        <v>119520511.90474</v>
      </c>
      <c r="F36" s="79" t="n">
        <v>0.518205139514497</v>
      </c>
      <c r="G36" s="80" t="s">
        <v>225</v>
      </c>
    </row>
    <row r="40" customFormat="false" ht="21.75" hidden="false" customHeight="true" outlineLevel="0" collapsed="false">
      <c r="B40" s="3" t="s">
        <v>226</v>
      </c>
      <c r="C40" s="3"/>
      <c r="D40" s="3"/>
      <c r="E40" s="3"/>
      <c r="F40" s="3"/>
      <c r="G40" s="3"/>
      <c r="H40" s="3"/>
      <c r="I40" s="3"/>
      <c r="J40" s="3"/>
      <c r="K40" s="3"/>
    </row>
    <row r="41" customFormat="false" ht="15" hidden="false" customHeight="true" outlineLevel="0" collapsed="false">
      <c r="B41" s="81" t="s">
        <v>227</v>
      </c>
      <c r="C41" s="81"/>
      <c r="D41" s="81"/>
      <c r="E41" s="81"/>
      <c r="F41" s="81"/>
      <c r="G41" s="81"/>
      <c r="H41" s="81"/>
      <c r="I41" s="81"/>
      <c r="J41" s="81"/>
      <c r="K41" s="81"/>
    </row>
    <row r="42" customFormat="false" ht="21.75" hidden="false" customHeight="true" outlineLevel="0" collapsed="false">
      <c r="B42" s="7" t="s">
        <v>228</v>
      </c>
      <c r="C42" s="7" t="s">
        <v>229</v>
      </c>
      <c r="D42" s="7" t="s">
        <v>230</v>
      </c>
      <c r="E42" s="7" t="s">
        <v>231</v>
      </c>
      <c r="F42" s="7" t="s">
        <v>232</v>
      </c>
      <c r="G42" s="7" t="s">
        <v>233</v>
      </c>
      <c r="H42" s="7" t="s">
        <v>234</v>
      </c>
      <c r="I42" s="7" t="s">
        <v>235</v>
      </c>
    </row>
    <row r="43" customFormat="false" ht="21.75" hidden="false" customHeight="true" outlineLevel="0" collapsed="false">
      <c r="B43" s="7" t="s">
        <v>236</v>
      </c>
      <c r="C43" s="82" t="n">
        <v>178.35</v>
      </c>
      <c r="D43" s="82" t="n">
        <v>199.35</v>
      </c>
      <c r="E43" s="83" t="n">
        <v>220.35</v>
      </c>
      <c r="F43" s="83" t="n">
        <v>253.95</v>
      </c>
      <c r="G43" s="83" t="n">
        <v>283.35</v>
      </c>
      <c r="H43" s="84" t="n">
        <v>304.35</v>
      </c>
      <c r="I43" s="84" t="n">
        <v>325.35</v>
      </c>
    </row>
    <row r="44" customFormat="false" ht="21.75" hidden="false" customHeight="true" outlineLevel="0" collapsed="false">
      <c r="B44" s="7" t="s">
        <v>237</v>
      </c>
      <c r="C44" s="82" t="n">
        <v>170.82</v>
      </c>
      <c r="D44" s="82" t="n">
        <v>191.22</v>
      </c>
      <c r="E44" s="83" t="n">
        <v>211.62</v>
      </c>
      <c r="F44" s="83" t="n">
        <v>244.26</v>
      </c>
      <c r="G44" s="83" t="n">
        <v>272.82</v>
      </c>
      <c r="H44" s="83" t="n">
        <v>293.22</v>
      </c>
      <c r="I44" s="84" t="n">
        <v>313.62</v>
      </c>
    </row>
    <row r="45" customFormat="false" ht="21.75" hidden="false" customHeight="true" outlineLevel="0" collapsed="false">
      <c r="B45" s="7" t="s">
        <v>238</v>
      </c>
      <c r="C45" s="82" t="n">
        <v>163.29</v>
      </c>
      <c r="D45" s="82" t="n">
        <v>183.09</v>
      </c>
      <c r="E45" s="83" t="n">
        <v>202.89</v>
      </c>
      <c r="F45" s="85" t="n">
        <v>234.57</v>
      </c>
      <c r="G45" s="83" t="n">
        <v>262.29</v>
      </c>
      <c r="H45" s="83" t="n">
        <v>282.09</v>
      </c>
      <c r="I45" s="84" t="n">
        <v>301.89</v>
      </c>
    </row>
    <row r="46" customFormat="false" ht="21.75" hidden="false" customHeight="true" outlineLevel="0" collapsed="false">
      <c r="B46" s="7" t="s">
        <v>239</v>
      </c>
      <c r="C46" s="82" t="n">
        <v>155.76</v>
      </c>
      <c r="D46" s="82" t="n">
        <v>174.96</v>
      </c>
      <c r="E46" s="82" t="n">
        <v>194.16</v>
      </c>
      <c r="F46" s="83" t="n">
        <v>224.88</v>
      </c>
      <c r="G46" s="83" t="n">
        <v>251.76</v>
      </c>
      <c r="H46" s="83" t="n">
        <v>270.96</v>
      </c>
      <c r="I46" s="83" t="n">
        <v>290.16</v>
      </c>
    </row>
    <row r="47" customFormat="false" ht="21.75" hidden="false" customHeight="true" outlineLevel="0" collapsed="false">
      <c r="B47" s="7" t="s">
        <v>240</v>
      </c>
      <c r="C47" s="82" t="n">
        <v>148.23</v>
      </c>
      <c r="D47" s="82" t="n">
        <v>166.83</v>
      </c>
      <c r="E47" s="82" t="n">
        <v>185.43</v>
      </c>
      <c r="F47" s="83" t="n">
        <v>215.19</v>
      </c>
      <c r="G47" s="83" t="n">
        <v>241.23</v>
      </c>
      <c r="H47" s="83" t="n">
        <v>259.83</v>
      </c>
      <c r="I47" s="83" t="n">
        <v>278.43</v>
      </c>
    </row>
  </sheetData>
  <mergeCells count="8">
    <mergeCell ref="B2:K2"/>
    <mergeCell ref="B3:K3"/>
    <mergeCell ref="B5:K5"/>
    <mergeCell ref="B15:K15"/>
    <mergeCell ref="B18:K18"/>
    <mergeCell ref="B30:K30"/>
    <mergeCell ref="B40:K40"/>
    <mergeCell ref="B41:K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2026-06-27T01:39:59Z</dcterms:created>
  <dc:creator>openpyxl</dc:creator>
  <dc:description/>
  <dc:language>en-US</dc:language>
  <cp:lastModifiedBy/>
  <dcterms:modified xsi:type="dcterms:W3CDTF">2026-06-27T01:43:51Z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