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Parametri_Base" sheetId="1" state="visible" r:id="rId3"/>
    <sheet name="2_Sensibilità_OneWay" sheetId="2" state="visible" r:id="rId4"/>
    <sheet name="3_Tornado_Diagram" sheetId="3" state="visible" r:id="rId5"/>
    <sheet name="4_MonteCarlo_PSA" sheetId="4" state="visible" r:id="rId6"/>
    <sheet name="5_Switch_Panel" sheetId="5" state="visible" r:id="rId7"/>
    <sheet name="6_Dashboard_Riepilog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<sst xmlns="http://schemas.openxmlformats.org/spreadsheetml/2006/main" count="379" uniqueCount="304">
  <si>
    <t xml:space="preserve">BUDGET IMPACT ANALYSIS – MODELLO DI SENSIBILITÀ</t>
  </si>
  <si>
    <t xml:space="preserve">Scenario Base · Parametri di Input · Anno 2024–2026</t>
  </si>
  <si>
    <t xml:space="preserve">SEZIONE 1 – POPOLAZIONE TARGET</t>
  </si>
  <si>
    <t xml:space="preserve">Parametro</t>
  </si>
  <si>
    <t xml:space="preserve">Valore Base</t>
  </si>
  <si>
    <t xml:space="preserve">Unità</t>
  </si>
  <si>
    <t xml:space="preserve">Note</t>
  </si>
  <si>
    <t xml:space="preserve">Pazienti totali nel sistema SSN</t>
  </si>
  <si>
    <t xml:space="preserve">n. pazienti</t>
  </si>
  <si>
    <t xml:space="preserve">Epidemiologia nazionale</t>
  </si>
  <si>
    <t xml:space="preserve">Quota trattata con farmaco A</t>
  </si>
  <si>
    <t xml:space="preserve">%</t>
  </si>
  <si>
    <t xml:space="preserve">Scenario conservativo</t>
  </si>
  <si>
    <t xml:space="preserve">Quota trattata con farmaco B</t>
  </si>
  <si>
    <t xml:space="preserve">Nuovo entrante</t>
  </si>
  <si>
    <t xml:space="preserve">Pazienti eleggibili (stima)</t>
  </si>
  <si>
    <t xml:space="preserve">Pop × quota A × correttivo</t>
  </si>
  <si>
    <t xml:space="preserve">Durata media trattamento</t>
  </si>
  <si>
    <t xml:space="preserve">mesi</t>
  </si>
  <si>
    <t xml:space="preserve">Linee guida vigenti</t>
  </si>
  <si>
    <t xml:space="preserve">Tasso abbandono terapia</t>
  </si>
  <si>
    <t xml:space="preserve">Drop-out annuo stimato</t>
  </si>
  <si>
    <t xml:space="preserve">SEZIONE 2 – COSTI DIRETTI (€/paziente/anno)</t>
  </si>
  <si>
    <t xml:space="preserve">Voce di Costo</t>
  </si>
  <si>
    <t xml:space="preserve">Farmaco A (€)</t>
  </si>
  <si>
    <t xml:space="preserve">Farmaco B (€)</t>
  </si>
  <si>
    <t xml:space="preserve">Δ Differenziale (€)</t>
  </si>
  <si>
    <t xml:space="preserve">Costo farmaco (listino SSN)</t>
  </si>
  <si>
    <t xml:space="preserve">IVA esclusa</t>
  </si>
  <si>
    <t xml:space="preserve">Costo somministrazione</t>
  </si>
  <si>
    <t xml:space="preserve">Day hospital vs. orale</t>
  </si>
  <si>
    <t xml:space="preserve">Monitoraggio clinico/laboratorio</t>
  </si>
  <si>
    <t xml:space="preserve">Esami trimestrali</t>
  </si>
  <si>
    <t xml:space="preserve">Gestione eventi avversi</t>
  </si>
  <si>
    <t xml:space="preserve">Stima da letteratura</t>
  </si>
  <si>
    <t xml:space="preserve">Ospedalizzazioni evitate</t>
  </si>
  <si>
    <t xml:space="preserve">Risparmio netto (negativo)</t>
  </si>
  <si>
    <t xml:space="preserve">TOTALE COSTI DIRETTI</t>
  </si>
  <si>
    <t xml:space="preserve">SEZIONE 3 – COSTI INDIRETTI (WPAI &amp; Human Capital Method)</t>
  </si>
  <si>
    <t xml:space="preserve">Range Min</t>
  </si>
  <si>
    <t xml:space="preserve">Range Max</t>
  </si>
  <si>
    <t xml:space="preserve">Tasso di presenteismo (WPAI)</t>
  </si>
  <si>
    <t xml:space="preserve">Tasso di assenteismo (WPAI)</t>
  </si>
  <si>
    <t xml:space="preserve">Retribuzione media annua</t>
  </si>
  <si>
    <t xml:space="preserve">€/anno</t>
  </si>
  <si>
    <t xml:space="preserve">Ore lavorate/anno</t>
  </si>
  <si>
    <t xml:space="preserve">ore</t>
  </si>
  <si>
    <t xml:space="preserve">Quota pazienti occupati</t>
  </si>
  <si>
    <t xml:space="preserve">Tasso riduzione sintomi</t>
  </si>
  <si>
    <t xml:space="preserve">Moltiplicatore HCM (fringe)</t>
  </si>
  <si>
    <t xml:space="preserve">fattore</t>
  </si>
  <si>
    <t xml:space="preserve">Costo assenteismo (€/pz/anno)</t>
  </si>
  <si>
    <t xml:space="preserve">€ calc.</t>
  </si>
  <si>
    <t xml:space="preserve">Costo presenteismo (€/pz/anno)</t>
  </si>
  <si>
    <t xml:space="preserve">COSTO INDIRETTO TOTALE (€/pz)</t>
  </si>
  <si>
    <t xml:space="preserve">€</t>
  </si>
  <si>
    <t xml:space="preserve">SEZIONE 4 – CALCOLO ROI SCENARIO BASE</t>
  </si>
  <si>
    <t xml:space="preserve">Metrica ROI</t>
  </si>
  <si>
    <t xml:space="preserve">Valore</t>
  </si>
  <si>
    <t xml:space="preserve">Formula</t>
  </si>
  <si>
    <t xml:space="preserve">Interpretazione</t>
  </si>
  <si>
    <t xml:space="preserve">Investimento (Δ costi × pop.)</t>
  </si>
  <si>
    <t xml:space="preserve">Δ costo × 37.500 paz.</t>
  </si>
  <si>
    <t xml:space="preserve">Costo netto B vs. A</t>
  </si>
  <si>
    <t xml:space="preserve">Benefici ind. evitati (€)</t>
  </si>
  <si>
    <t xml:space="preserve">Costo ind. × rid. × pop.</t>
  </si>
  <si>
    <t xml:space="preserve">Risparmio produttività</t>
  </si>
  <si>
    <t xml:space="preserve">Benefici dir. evitati (€)</t>
  </si>
  <si>
    <t xml:space="preserve">Δ ospedal. × pop.</t>
  </si>
  <si>
    <t xml:space="preserve">Ricoveri evitati</t>
  </si>
  <si>
    <t xml:space="preserve">ROI (%) – Scenario Base</t>
  </si>
  <si>
    <t xml:space="preserve">(Benefici - Costi) / |Costi|</t>
  </si>
  <si>
    <t xml:space="preserve">Target &gt; 0 = favorevole</t>
  </si>
  <si>
    <t xml:space="preserve">Payback period (anni)</t>
  </si>
  <si>
    <t xml:space="preserve">Costi/Benefici</t>
  </si>
  <si>
    <t xml:space="preserve">Anni per recupero invest.</t>
  </si>
  <si>
    <t xml:space="preserve">Net Monetary Benefit (€)</t>
  </si>
  <si>
    <t xml:space="preserve">Benefici – Costi</t>
  </si>
  <si>
    <t xml:space="preserve">Valore assoluto netto</t>
  </si>
  <si>
    <t xml:space="preserve">ANALISI DI SENSIBILITÀ ONE-WAY – IMPATTO SUL ROI</t>
  </si>
  <si>
    <t xml:space="preserve">Ogni parametro varia di ±10%, ±25%, ±50% rispetto al valore base · tutti gli altri fissi</t>
  </si>
  <si>
    <t xml:space="preserve">TABELLA SENSIBILITÀ – VARIAZIONE ROI</t>
  </si>
  <si>
    <t xml:space="preserve">-50%</t>
  </si>
  <si>
    <t xml:space="preserve">-25%</t>
  </si>
  <si>
    <t xml:space="preserve">-10%</t>
  </si>
  <si>
    <t xml:space="preserve">+10%</t>
  </si>
  <si>
    <t xml:space="preserve">+25%</t>
  </si>
  <si>
    <t xml:space="preserve">+50%</t>
  </si>
  <si>
    <t xml:space="preserve">Swing</t>
  </si>
  <si>
    <t xml:space="preserve">Costo farmaco B (€/pz)</t>
  </si>
  <si>
    <t xml:space="preserve">Retribuzione media (€)</t>
  </si>
  <si>
    <t xml:space="preserve">Moltiplicatore HCM</t>
  </si>
  <si>
    <t xml:space="preserve">Tasso di presenteismo</t>
  </si>
  <si>
    <t xml:space="preserve">Tasso assenteismo</t>
  </si>
  <si>
    <t xml:space="preserve">Costo eventi avversi (€)</t>
  </si>
  <si>
    <t xml:space="preserve">ℹ️ DSA: ogni parametro varia individualmente. Tornado Diagram nel Foglio 3 ordina per Swing.</t>
  </si>
  <si>
    <t xml:space="preserve">TORNADO DIAGRAM – SENSIBILITÀ DEL ROI</t>
  </si>
  <si>
    <t xml:space="preserve">DATI TORNADO – Ordinati per Swing Decrescente (ROI ±50%)</t>
  </si>
  <si>
    <t xml:space="preserve">ROI min (−50%)</t>
  </si>
  <si>
    <t xml:space="preserve">ROI base</t>
  </si>
  <si>
    <t xml:space="preserve">ROI max (+50%)</t>
  </si>
  <si>
    <t xml:space="preserve">ANALISI PROBABILISTICA – SIMULAZIONE MONTE CARLO (PSA)</t>
  </si>
  <si>
    <t xml:space="preserve">N = 1.000 iterazioni · Beta (tassi) · LogNormal (costi) · Normal (retribuzioni)</t>
  </si>
  <si>
    <t xml:space="preserve">A – PARAMETRI DISTRIBUZIONI PROBABILISTICHE</t>
  </si>
  <si>
    <t xml:space="preserve">Distribuzione</t>
  </si>
  <si>
    <t xml:space="preserve">α / μ</t>
  </si>
  <si>
    <t xml:space="preserve">β / σ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</si>
  <si>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</si>
  <si>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</si>
  <si>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</si>
  <si>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</si>
  <si>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</si>
  <si>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Nota</t>
  </si>
  <si>
    <t xml:space="preserve">Presenteismo (WPAI)</t>
  </si>
  <si>
    <t xml:space="preserve">Beta(5.6, 14.4)</t>
  </si>
  <si>
    <t xml:space="preserve">Media 28% – alta variabilità</t>
  </si>
  <si>
    <t xml:space="preserve">Assenteismo (WPAI)</t>
  </si>
  <si>
    <t xml:space="preserve">Beta(3.6, 26.4)</t>
  </si>
  <si>
    <t xml:space="preserve">Media 12% – distribuzione skewed</t>
  </si>
  <si>
    <t xml:space="preserve">Normal(32k, 4k)</t>
  </si>
  <si>
    <t xml:space="preserve">Media €32k – simmetrica</t>
  </si>
  <si>
    <t xml:space="preserve">Riduzione sintomi</t>
  </si>
  <si>
    <t xml:space="preserve">Beta(7.0, 13.0)</t>
  </si>
  <si>
    <t xml:space="preserve">Media 35% – parametro chiave</t>
  </si>
  <si>
    <t xml:space="preserve">Beta(12.4, 7.6)</t>
  </si>
  <si>
    <t xml:space="preserve">Media 62% – moderata</t>
  </si>
  <si>
    <t xml:space="preserve">LogN(1.35, 0.12)</t>
  </si>
  <si>
    <t xml:space="preserve">Asimmetrico destra</t>
  </si>
  <si>
    <t xml:space="preserve">Costo farmaco B (€)</t>
  </si>
  <si>
    <t xml:space="preserve">LogN(12k, 1.5k)</t>
  </si>
  <si>
    <t xml:space="preserve">Media €12k – skewed</t>
  </si>
  <si>
    <t xml:space="preserve">ROI SIMULATO (derivato)</t>
  </si>
  <si>
    <t xml:space="preserve">Risultante</t>
  </si>
  <si>
    <t xml:space="preserve">N/A</t>
  </si>
  <si>
    <t xml:space="preserve">IC90%: [-22.2% ; 193.0%]</t>
  </si>
  <si>
    <t xml:space="preserve">B – CONFRONTO BASE vs. PSA · INTERVALLI DI CONFIDENZA</t>
  </si>
  <si>
    <t xml:space="preserve">Metrica</t>
  </si>
  <si>
    <t xml:space="preserve">Base</t>
  </si>
  <si>
    <t xml:space="preserve">Δ Incertezza</t>
  </si>
  <si>
    <t xml:space="preserve">ROI (%)</t>
  </si>
  <si>
    <t xml:space="preserve">IC90% = [-22.2% ; 193.0%]</t>
  </si>
  <si>
    <t xml:space="preserve">P(ROI &gt; 0)</t>
  </si>
  <si>
    <t xml:space="preserve">% iterazioni favorevoli</t>
  </si>
  <si>
    <t xml:space="preserve">P(ROI &gt; 20%)</t>
  </si>
  <si>
    <t xml:space="preserve">Soglia decisionale significativa</t>
  </si>
  <si>
    <t xml:space="preserve">NMB (€M, base)</t>
  </si>
  <si>
    <t xml:space="preserve">Scenario base pop. 37.500 paz.</t>
  </si>
  <si>
    <t xml:space="preserve">C – DISTRIBUZIONE ROI SIMULATO (1.000 iterazioni)</t>
  </si>
  <si>
    <t xml:space="preserve">Intervallo ROI</t>
  </si>
  <si>
    <t xml:space="preserve">Frequenza (n)</t>
  </si>
  <si>
    <t xml:space="preserve">Freq. (%)</t>
  </si>
  <si>
    <t xml:space="preserve">-25.4% – 39.6%</t>
  </si>
  <si>
    <t xml:space="preserve">39.6% – 104.7%</t>
  </si>
  <si>
    <t xml:space="preserve">104.7% – 169.7%</t>
  </si>
  <si>
    <t xml:space="preserve">169.7% – 234.7%</t>
  </si>
  <si>
    <t xml:space="preserve">234.7% – 299.8%</t>
  </si>
  <si>
    <t xml:space="preserve">299.8% – 364.8%</t>
  </si>
  <si>
    <t xml:space="preserve">364.8% – 429.9%</t>
  </si>
  <si>
    <t xml:space="preserve">429.9% – 494.9%</t>
  </si>
  <si>
    <t xml:space="preserve">494.9% – 559.9%</t>
  </si>
  <si>
    <t xml:space="preserve">559.9% – 625.0%</t>
  </si>
  <si>
    <t xml:space="preserve">625.0% – 690.0%</t>
  </si>
  <si>
    <t xml:space="preserve">690.0% – 755.0%</t>
  </si>
  <si>
    <t xml:space="preserve">SWITCH PANEL – ATTIVA/DISATTIVA COMPONENTI DI COSTO INDIRETTO</t>
  </si>
  <si>
    <t xml:space="preserve">Celle gialle = modificabili (ON/OFF). Modifica per testare la robustezza del BIA finale.</t>
  </si>
  <si>
    <t xml:space="preserve">A – SWITCH COMPONENTI WPAI + HCM + METODI ALTERNATIVI</t>
  </si>
  <si>
    <t xml:space="preserve">Componente</t>
  </si>
  <si>
    <t xml:space="preserve">ON/OFF</t>
  </si>
  <si>
    <t xml:space="preserve">Metodo</t>
  </si>
  <si>
    <t xml:space="preserve">Peso (%)</t>
  </si>
  <si>
    <t xml:space="preserve">Δ ROI se OFF</t>
  </si>
  <si>
    <t xml:space="preserve">Sensibilità</t>
  </si>
  <si>
    <t xml:space="preserve">Presenteismo (produttività ridotta)</t>
  </si>
  <si>
    <t xml:space="preserve">ON</t>
  </si>
  <si>
    <t xml:space="preserve">WPAI-GH</t>
  </si>
  <si>
    <t xml:space="preserve">Molto Alta</t>
  </si>
  <si>
    <t xml:space="preserve">Assenteismo (giorni persi)</t>
  </si>
  <si>
    <t xml:space="preserve">Alta</t>
  </si>
  <si>
    <t xml:space="preserve">Human Capital Method (fringe ×1.35)</t>
  </si>
  <si>
    <t xml:space="preserve">HCM</t>
  </si>
  <si>
    <t xml:space="preserve">Media</t>
  </si>
  <si>
    <t xml:space="preserve">Perdita produttività long-term</t>
  </si>
  <si>
    <t xml:space="preserve">HCM/WPAI</t>
  </si>
  <si>
    <t xml:space="preserve">Qualità vita lavorativa (EQ-5D)</t>
  </si>
  <si>
    <t xml:space="preserve">EQ-5D/WPAI</t>
  </si>
  <si>
    <t xml:space="preserve">Caregiver informale</t>
  </si>
  <si>
    <t xml:space="preserve">OFF</t>
  </si>
  <si>
    <t xml:space="preserve">TTO</t>
  </si>
  <si>
    <t xml:space="preserve">Bassa</t>
  </si>
  <si>
    <t xml:space="preserve">Formazione/sostituzione dipendente</t>
  </si>
  <si>
    <t xml:space="preserve">Mortalità prematura (DALY)</t>
  </si>
  <si>
    <t xml:space="preserve">Molto Bassa</t>
  </si>
  <si>
    <t xml:space="preserve">B – CONFRONTO METODI: WPAI vs. HCM vs. FRICTION COST</t>
  </si>
  <si>
    <t xml:space="preserve">Criterio</t>
  </si>
  <si>
    <t xml:space="preserve">FCM</t>
  </si>
  <si>
    <t xml:space="preserve">Metodo Adottato</t>
  </si>
  <si>
    <t xml:space="preserve">Prospettiva</t>
  </si>
  <si>
    <t xml:space="preserve">Paziente/Datore</t>
  </si>
  <si>
    <t xml:space="preserve">Società</t>
  </si>
  <si>
    <t xml:space="preserve">Datore lavoro</t>
  </si>
  <si>
    <t xml:space="preserve">Entrambi</t>
  </si>
  <si>
    <t xml:space="preserve">Presenteismo incluso</t>
  </si>
  <si>
    <t xml:space="preserve">✓ Sì</t>
  </si>
  <si>
    <t xml:space="preserve">✗ No</t>
  </si>
  <si>
    <t xml:space="preserve">WPAI</t>
  </si>
  <si>
    <t xml:space="preserve">Fringe benefits</t>
  </si>
  <si>
    <t xml:space="preserve">✓ Sì (×1.35)</t>
  </si>
  <si>
    <t xml:space="preserve">✓ Parziale</t>
  </si>
  <si>
    <t xml:space="preserve">Costo stimato (€/pz)</t>
  </si>
  <si>
    <t xml:space="preserve">€2.800</t>
  </si>
  <si>
    <t xml:space="preserve">€3.450</t>
  </si>
  <si>
    <t xml:space="preserve">€1.100</t>
  </si>
  <si>
    <t xml:space="preserve">WPAI+HCM</t>
  </si>
  <si>
    <t xml:space="preserve">Status nel modello</t>
  </si>
  <si>
    <t xml:space="preserve">✓ ON</t>
  </si>
  <si>
    <t xml:space="preserve">✗ OFF</t>
  </si>
  <si>
    <t xml:space="preserve">—</t>
  </si>
  <si>
    <t xml:space="preserve">C – SCENARI ROI AL VARIARE DELLE COMPONENTI ATTIVE</t>
  </si>
  <si>
    <t xml:space="preserve">Scenario Switch</t>
  </si>
  <si>
    <t xml:space="preserve">Attive</t>
  </si>
  <si>
    <t xml:space="preserve">Δ vs. Base</t>
  </si>
  <si>
    <t xml:space="preserve">Robustezza</t>
  </si>
  <si>
    <t xml:space="preserve">Raccomandazione</t>
  </si>
  <si>
    <t xml:space="preserve">✅ Tutti ON – Scenario Completo</t>
  </si>
  <si>
    <t xml:space="preserve">8/8</t>
  </si>
  <si>
    <t xml:space="preserve">Scenario preferito</t>
  </si>
  <si>
    <t xml:space="preserve">⚡ WPAI+HCM+LT Loss</t>
  </si>
  <si>
    <t xml:space="preserve">6/8</t>
  </si>
  <si>
    <t xml:space="preserve">Analisi SSN raccomandata</t>
  </si>
  <si>
    <t xml:space="preserve">🔵 Solo WPAI (no HCM)</t>
  </si>
  <si>
    <t xml:space="preserve">5/8</t>
  </si>
  <si>
    <t xml:space="preserve">Conservativo</t>
  </si>
  <si>
    <t xml:space="preserve">🟡 Solo HCM (no WPAI)</t>
  </si>
  <si>
    <t xml:space="preserve">4/8</t>
  </si>
  <si>
    <t xml:space="preserve">Alternativo</t>
  </si>
  <si>
    <t xml:space="preserve">🔴 Solo costi diretti</t>
  </si>
  <si>
    <t xml:space="preserve">0/8</t>
  </si>
  <si>
    <t xml:space="preserve">Non raccomandato</t>
  </si>
  <si>
    <t xml:space="preserve">BIA DASHBOARD – RIEPILOGO ESECUTIVO</t>
  </si>
  <si>
    <t xml:space="preserve">Budget Impact Analysis · Base vs. PSA Monte Carlo · Anno 2024</t>
  </si>
  <si>
    <t xml:space="preserve">ROI BASE</t>
  </si>
  <si>
    <t xml:space="preserve">MEDIANA MC</t>
  </si>
  <si>
    <t xml:space="preserve">IC90% LOWER</t>
  </si>
  <si>
    <t xml:space="preserve">IC90% UPPER</t>
  </si>
  <si>
    <t xml:space="preserve">32.4%</t>
  </si>
  <si>
    <t xml:space="preserve">23.0%</t>
  </si>
  <si>
    <t xml:space="preserve">-22.2%</t>
  </si>
  <si>
    <t xml:space="preserve">193.0%</t>
  </si>
  <si>
    <t xml:space="preserve">Deterministico</t>
  </si>
  <si>
    <t xml:space="preserve">P50 PSA</t>
  </si>
  <si>
    <t xml:space="preserve">P5 limite inf.</t>
  </si>
  <si>
    <t xml:space="preserve">P95 limite sup.</t>
  </si>
  <si>
    <t xml:space="preserve">P(ROI&gt;0): 66.7%</t>
  </si>
  <si>
    <t xml:space="preserve">P(ROI&gt;20%): 52.2%</t>
  </si>
  <si>
    <t xml:space="preserve">Param. critico: Costo farmaco B (€/pz) (Swing 60.0%)</t>
  </si>
  <si>
    <t xml:space="preserve">CONFRONTO MULTI-SCENARIO – BASE vs. PSA vs. SWITCH</t>
  </si>
  <si>
    <t xml:space="preserve">Scenario</t>
  </si>
  <si>
    <t xml:space="preserve">NMB (€M)</t>
  </si>
  <si>
    <t xml:space="preserve">Costi Dir.
(€M)</t>
  </si>
  <si>
    <t xml:space="preserve">Costi Ind.
(€M)</t>
  </si>
  <si>
    <t xml:space="preserve">Benef. Tot.
(€M)</t>
  </si>
  <si>
    <t xml:space="preserve">Switch</t>
  </si>
  <si>
    <t xml:space="preserve">🔵 Scenario Base (deterministico)</t>
  </si>
  <si>
    <t xml:space="preserve">8/8 ON</t>
  </si>
  <si>
    <t xml:space="preserve">Riferimento principale</t>
  </si>
  <si>
    <t xml:space="preserve">🟢 Ottimistico (P95 = 193.0%)</t>
  </si>
  <si>
    <t xml:space="preserve">PSA</t>
  </si>
  <si>
    <t xml:space="preserve">Massimo beneficio</t>
  </si>
  <si>
    <t xml:space="preserve">🔴 Pessimistico (P5 = -22.2%)</t>
  </si>
  <si>
    <t xml:space="preserve">Worst-case</t>
  </si>
  <si>
    <t xml:space="preserve">⚡ WPAI+HCM+LT Loss (SSN)</t>
  </si>
  <si>
    <t xml:space="preserve">6/8 ON</t>
  </si>
  <si>
    <t xml:space="preserve">Analisi preferita SSN</t>
  </si>
  <si>
    <t xml:space="preserve">🟡 Solo WPAI</t>
  </si>
  <si>
    <t xml:space="preserve">5/8 ON</t>
  </si>
  <si>
    <t xml:space="preserve">⚪ Solo costi diretti</t>
  </si>
  <si>
    <t xml:space="preserve">0/8 ON</t>
  </si>
  <si>
    <t xml:space="preserve">ANALISI DI ROBUSTEZZA – SINTESI</t>
  </si>
  <si>
    <t xml:space="preserve">Indicatore</t>
  </si>
  <si>
    <t xml:space="preserve">Benchmark</t>
  </si>
  <si>
    <t xml:space="preserve">Esito</t>
  </si>
  <si>
    <t xml:space="preserve">ROI Base</t>
  </si>
  <si>
    <t xml:space="preserve">&gt; 0%</t>
  </si>
  <si>
    <t xml:space="preserve">✅ POSITIVO</t>
  </si>
  <si>
    <t xml:space="preserve">Investimento giustificato</t>
  </si>
  <si>
    <t xml:space="preserve">IC90% interamente positivo</t>
  </si>
  <si>
    <t xml:space="preserve">No</t>
  </si>
  <si>
    <t xml:space="preserve">P5 &gt; 0%</t>
  </si>
  <si>
    <t xml:space="preserve">⚠️ NO</t>
  </si>
  <si>
    <t xml:space="preserve">P5=-22.2%</t>
  </si>
  <si>
    <t xml:space="preserve">Prob. ROI &gt; 0</t>
  </si>
  <si>
    <t xml:space="preserve">66.7%</t>
  </si>
  <si>
    <t xml:space="preserve">&gt; 80%</t>
  </si>
  <si>
    <t xml:space="preserve">⚠️ INCERTA</t>
  </si>
  <si>
    <t xml:space="preserve">Certezza decisionale</t>
  </si>
  <si>
    <t xml:space="preserve">Ampiezza IC90%</t>
  </si>
  <si>
    <t xml:space="preserve">215.2%</t>
  </si>
  <si>
    <t xml:space="preserve">&lt; 30%</t>
  </si>
  <si>
    <t xml:space="preserve">⚠️ AMPIA</t>
  </si>
  <si>
    <t xml:space="preserve">Intervallo incertezza</t>
  </si>
  <si>
    <t xml:space="preserve">Param. critico</t>
  </si>
  <si>
    <t xml:space="preserve">⚠️ MONITORARE</t>
  </si>
  <si>
    <t xml:space="preserve">Swing 60.0%</t>
  </si>
  <si>
    <t xml:space="preserve">LEGENDA: WPAI=Work Productivity &amp; Activity Impairment | HCM=Human Capital Method | PSA=Probabilistic Sensitivity Analysis (N=1.000) | NMB=Net Monetary Benefit | IC=Intervallo di Confidenza | DSA=Deterministic Sensitivity Analysis | FCM=Friction Cost Method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</si>
</sst>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\€#,##0"/>
    <numFmt numFmtId="168" formatCode="#,##0.00"/>
    <numFmt numFmtId="169" formatCode="0.00"/>
    <numFmt numFmtId="170" formatCode="0%"/>
    <numFmt numFmtId="171" formatCode="\€#,##0.0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8251D"/>
      <name val="Calibri"/>
      <family val="0"/>
      <charset val="1"/>
    </font>
    <font>
      <i val="true"/>
      <sz val="9"/>
      <color rgb="FF7A797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28251D"/>
      <name val="Calibri"/>
      <family val="0"/>
      <charset val="1"/>
    </font>
    <font>
      <b val="true"/>
      <sz val="10"/>
      <color rgb="FF1B474D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A84B2F"/>
      <name val="Calibri"/>
      <family val="0"/>
      <charset val="1"/>
    </font>
    <font>
      <sz val="9"/>
      <color rgb="FF7A7974"/>
      <name val="Calibri"/>
      <family val="0"/>
      <charset val="1"/>
    </font>
    <font>
      <sz val="9"/>
      <color rgb="FF28251D"/>
      <name val="Calibri"/>
      <family val="0"/>
      <charset val="1"/>
    </font>
    <font>
      <sz val="9"/>
      <color rgb="FF375623"/>
      <name val="Calibri"/>
      <family val="0"/>
      <charset val="1"/>
    </font>
    <font>
      <sz val="9"/>
      <color rgb="FF9C0006"/>
      <name val="Calibri"/>
      <family val="0"/>
      <charset val="1"/>
    </font>
    <font>
      <b val="true"/>
      <sz val="10"/>
      <color rgb="FF28251D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9C6500"/>
      <name val="Calibri"/>
      <family val="0"/>
      <charset val="1"/>
    </font>
    <font>
      <b val="true"/>
      <sz val="9"/>
      <color rgb="FF9C0006"/>
      <name val="Calibri"/>
      <family val="0"/>
      <charset val="1"/>
    </font>
    <font>
      <b val="true"/>
      <sz val="9"/>
      <color rgb="FF9C6500"/>
      <name val="Calibri"/>
      <family val="0"/>
      <charset val="1"/>
    </font>
    <font>
      <b val="true"/>
      <sz val="9"/>
      <color rgb="FF375623"/>
      <name val="Calibri"/>
      <family val="0"/>
      <charset val="1"/>
    </font>
    <font>
      <b val="true"/>
      <sz val="9"/>
      <color rgb="FF1B474D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sz val="10"/>
      <color rgb="FF9C0006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0"/>
      <color rgb="FF7A7974"/>
      <name val="Calibri"/>
      <family val="0"/>
      <charset val="1"/>
    </font>
    <font>
      <b val="true"/>
      <sz val="8"/>
      <color rgb="FF7A7974"/>
      <name val="Calibri"/>
      <family val="0"/>
      <charset val="1"/>
    </font>
    <font>
      <b val="true"/>
      <sz val="18"/>
      <color rgb="FF375623"/>
      <name val="Calibri"/>
      <family val="0"/>
      <charset val="1"/>
    </font>
    <font>
      <b val="true"/>
      <sz val="18"/>
      <color rgb="FF1B474D"/>
      <name val="Calibri"/>
      <family val="0"/>
      <charset val="1"/>
    </font>
    <font>
      <b val="true"/>
      <sz val="18"/>
      <color rgb="FF9C0006"/>
      <name val="Calibri"/>
      <family val="0"/>
      <charset val="1"/>
    </font>
    <font>
      <b val="true"/>
      <sz val="18"/>
      <color rgb="FF437A22"/>
      <name val="Calibri"/>
      <family val="0"/>
      <charset val="1"/>
    </font>
    <font>
      <i val="true"/>
      <sz val="8"/>
      <color rgb="FF7A7974"/>
      <name val="Calibri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B474D"/>
        <bgColor rgb="FF375623"/>
      </patternFill>
    </fill>
    <fill>
      <patternFill patternType="solid">
        <fgColor rgb="FF20808D"/>
        <bgColor rgb="FF008080"/>
      </patternFill>
    </fill>
    <fill>
      <patternFill patternType="solid">
        <fgColor rgb="FFF2F8F9"/>
        <bgColor rgb="FFF7F6F2"/>
      </patternFill>
    </fill>
    <fill>
      <patternFill patternType="solid">
        <fgColor rgb="FFA84B2F"/>
        <bgColor rgb="FF9C6500"/>
      </patternFill>
    </fill>
    <fill>
      <patternFill patternType="solid">
        <fgColor rgb="FFFDF5F3"/>
        <bgColor rgb="FFF7F6F2"/>
      </patternFill>
    </fill>
    <fill>
      <patternFill patternType="solid">
        <fgColor rgb="FF437A22"/>
        <bgColor rgb="FF375623"/>
      </patternFill>
    </fill>
    <fill>
      <patternFill patternType="solid">
        <fgColor rgb="FFE8F5F7"/>
        <bgColor rgb="FFF2F8F9"/>
      </patternFill>
    </fill>
    <fill>
      <patternFill patternType="solid">
        <fgColor rgb="FFC6EFCE"/>
        <bgColor rgb="FFD5EFCA"/>
      </patternFill>
    </fill>
    <fill>
      <patternFill patternType="solid">
        <fgColor rgb="FFFFC7CE"/>
        <bgColor rgb="FFD4D1CA"/>
      </patternFill>
    </fill>
    <fill>
      <patternFill patternType="solid">
        <fgColor rgb="FF848456"/>
        <bgColor rgb="FF7A7974"/>
      </patternFill>
    </fill>
    <fill>
      <patternFill patternType="solid">
        <fgColor rgb="FFF7F6F2"/>
        <bgColor rgb="FFFDF5F3"/>
      </patternFill>
    </fill>
    <fill>
      <patternFill patternType="solid">
        <fgColor rgb="FFFFF9E6"/>
        <bgColor rgb="FFFDF5F3"/>
      </patternFill>
    </fill>
    <fill>
      <patternFill patternType="solid">
        <fgColor rgb="FFBCE2E7"/>
        <bgColor rgb="FFC6EFCE"/>
      </patternFill>
    </fill>
    <fill>
      <patternFill patternType="solid">
        <fgColor rgb="FF7A39BB"/>
        <bgColor rgb="FF993366"/>
      </patternFill>
    </fill>
    <fill>
      <patternFill patternType="solid">
        <fgColor rgb="FFF5F0FB"/>
        <bgColor rgb="FFF7F6F2"/>
      </patternFill>
    </fill>
    <fill>
      <patternFill patternType="solid">
        <fgColor rgb="FFFFEB9C"/>
        <bgColor rgb="FFFFF9E6"/>
      </patternFill>
    </fill>
    <fill>
      <patternFill patternType="solid">
        <fgColor rgb="FFD5EFCA"/>
        <bgColor rgb="FFC6EFCE"/>
      </patternFill>
    </fill>
    <fill>
      <patternFill patternType="solid">
        <fgColor rgb="FF375623"/>
        <bgColor rgb="FF1B474D"/>
      </patternFill>
    </fill>
    <fill>
      <patternFill patternType="solid">
        <fgColor rgb="FF9C0006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 diagonalUp="false" diagonalDown="false">
      <left style="thin">
        <color rgb="FFD4D1CA"/>
      </left>
      <right/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11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1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16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16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16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1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9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12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1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1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9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1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7F6F2"/>
      <rgbColor rgb="FFFF00FF"/>
      <rgbColor rgb="FF00FFFF"/>
      <rgbColor rgb="FF9C0006"/>
      <rgbColor rgb="FF008000"/>
      <rgbColor rgb="FF000080"/>
      <rgbColor rgb="FF9C6500"/>
      <rgbColor rgb="FF800080"/>
      <rgbColor rgb="FF20808D"/>
      <rgbColor rgb="FFD4D1CA"/>
      <rgbColor rgb="FF878787"/>
      <rgbColor rgb="FF9999FF"/>
      <rgbColor rgb="FF7A39BB"/>
      <rgbColor rgb="FFFFF9E6"/>
      <rgbColor rgb="FFE8F5F7"/>
      <rgbColor rgb="FF660066"/>
      <rgbColor rgb="FFFF8080"/>
      <rgbColor rgb="FF0066CC"/>
      <rgbColor rgb="FFD9D9D9"/>
      <rgbColor rgb="FF000080"/>
      <rgbColor rgb="FFFF00FF"/>
      <rgbColor rgb="FFFDF5F3"/>
      <rgbColor rgb="FF00FFFF"/>
      <rgbColor rgb="FF800080"/>
      <rgbColor rgb="FF800000"/>
      <rgbColor rgb="FF008080"/>
      <rgbColor rgb="FF0000FF"/>
      <rgbColor rgb="FF00CCFF"/>
      <rgbColor rgb="FFF2F8F9"/>
      <rgbColor rgb="FFC6EFCE"/>
      <rgbColor rgb="FFFFEB9C"/>
      <rgbColor rgb="FFBCE2E7"/>
      <rgbColor rgb="FFF5F0FB"/>
      <rgbColor rgb="FFD5EFCA"/>
      <rgbColor rgb="FFFFC7CE"/>
      <rgbColor rgb="FF3366FF"/>
      <rgbColor rgb="FF33CCCC"/>
      <rgbColor rgb="FF99CC00"/>
      <rgbColor rgb="FFF9F9F9"/>
      <rgbColor rgb="FFFF9900"/>
      <rgbColor rgb="FFFF6600"/>
      <rgbColor rgb="FF7A7974"/>
      <rgbColor rgb="FF848456"/>
      <rgbColor rgb="FF1B474D"/>
      <rgbColor rgb="FF437A22"/>
      <rgbColor rgb="FF003300"/>
      <rgbColor rgb="FF375623"/>
      <rgbColor rgb="FFA84B2F"/>
      <rgbColor rgb="FF993366"/>
      <rgbColor rgb="FF333399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Tornado Diagram – Impatto sul ROI (±50%)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'3_Tornado_Diagram'!C5</c:f>
              <c:strCache>
                <c:ptCount val="1"/>
                <c:pt idx="0">
                  <c:v>ROI min (−50%)</c:v>
                </c:pt>
              </c:strCache>
            </c:strRef>
          </c:tx>
          <c:spPr>
            <a:solidFill>
              <a:srgbClr val="A84B2F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'3_Tornado_Diagram'!$B$6:$B$15</c:f>
              <c:strCache>
                <c:ptCount val="10"/>
                <c:pt idx="0">
                  <c:v>Costo farmaco B (€/pz)</c:v>
                </c:pt>
                <c:pt idx="1">
                  <c:v>Tasso riduzione sintomi</c:v>
                </c:pt>
                <c:pt idx="2">
                  <c:v>Ospedalizzazioni evitate</c:v>
                </c:pt>
                <c:pt idx="3">
                  <c:v>Quota pazienti occupati</c:v>
                </c:pt>
                <c:pt idx="4">
                  <c:v>Retribuzione media (€)</c:v>
                </c:pt>
                <c:pt idx="5">
                  <c:v>Moltiplicatore HCM</c:v>
                </c:pt>
                <c:pt idx="6">
                  <c:v>Tasso di presenteismo</c:v>
                </c:pt>
                <c:pt idx="7">
                  <c:v>Ore lavorate/anno</c:v>
                </c:pt>
                <c:pt idx="8">
                  <c:v>Tasso assenteismo</c:v>
                </c:pt>
                <c:pt idx="9">
                  <c:v>Costo eventi avversi (€)</c:v>
                </c:pt>
              </c:strCache>
            </c:strRef>
          </c:cat>
          <c:val>
            <c:numRef>
              <c:f>'3_Tornado_Diagram'!$C$6:$C$15</c:f>
              <c:numCache>
                <c:formatCode>0.0%</c:formatCode>
                <c:ptCount val="10"/>
                <c:pt idx="0">
                  <c:v>0.62</c:v>
                </c:pt>
                <c:pt idx="1">
                  <c:v>0.12</c:v>
                </c:pt>
                <c:pt idx="2">
                  <c:v>0.12</c:v>
                </c:pt>
                <c:pt idx="3">
                  <c:v>0.15</c:v>
                </c:pt>
                <c:pt idx="4">
                  <c:v>0.18</c:v>
                </c:pt>
                <c:pt idx="5">
                  <c:v>0.2</c:v>
                </c:pt>
                <c:pt idx="6">
                  <c:v>0.22</c:v>
                </c:pt>
                <c:pt idx="7">
                  <c:v>0.22</c:v>
                </c:pt>
                <c:pt idx="8">
                  <c:v>0.25</c:v>
                </c:pt>
                <c:pt idx="9">
                  <c:v>0.38</c:v>
                </c:pt>
              </c:numCache>
            </c:numRef>
          </c:val>
        </c:ser>
        <c:ser>
          <c:idx val="1"/>
          <c:order val="1"/>
          <c:tx>
            <c:strRef>
              <c:f>'3_Tornado_Diagram'!E5</c:f>
              <c:strCache>
                <c:ptCount val="1"/>
                <c:pt idx="0">
                  <c:v>ROI max (+50%)</c:v>
                </c:pt>
              </c:strCache>
            </c:strRef>
          </c:tx>
          <c:spPr>
            <a:solidFill>
              <a:srgbClr val="20808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'3_Tornado_Diagram'!$B$6:$B$15</c:f>
              <c:strCache>
                <c:ptCount val="10"/>
                <c:pt idx="0">
                  <c:v>Costo farmaco B (€/pz)</c:v>
                </c:pt>
                <c:pt idx="1">
                  <c:v>Tasso riduzione sintomi</c:v>
                </c:pt>
                <c:pt idx="2">
                  <c:v>Ospedalizzazioni evitate</c:v>
                </c:pt>
                <c:pt idx="3">
                  <c:v>Quota pazienti occupati</c:v>
                </c:pt>
                <c:pt idx="4">
                  <c:v>Retribuzione media (€)</c:v>
                </c:pt>
                <c:pt idx="5">
                  <c:v>Moltiplicatore HCM</c:v>
                </c:pt>
                <c:pt idx="6">
                  <c:v>Tasso di presenteismo</c:v>
                </c:pt>
                <c:pt idx="7">
                  <c:v>Ore lavorate/anno</c:v>
                </c:pt>
                <c:pt idx="8">
                  <c:v>Tasso assenteismo</c:v>
                </c:pt>
                <c:pt idx="9">
                  <c:v>Costo eventi avversi (€)</c:v>
                </c:pt>
              </c:strCache>
            </c:strRef>
          </c:cat>
          <c:val>
            <c:numRef>
              <c:f>'3_Tornado_Diagram'!$E$6:$E$15</c:f>
              <c:numCache>
                <c:formatCode>0.0%</c:formatCode>
                <c:ptCount val="10"/>
                <c:pt idx="0">
                  <c:v>0.02</c:v>
                </c:pt>
                <c:pt idx="1">
                  <c:v>0.58</c:v>
                </c:pt>
                <c:pt idx="2">
                  <c:v>0.58</c:v>
                </c:pt>
                <c:pt idx="3">
                  <c:v>0.52</c:v>
                </c:pt>
                <c:pt idx="4">
                  <c:v>0.48</c:v>
                </c:pt>
                <c:pt idx="5">
                  <c:v>0.48</c:v>
                </c:pt>
                <c:pt idx="6">
                  <c:v>0.42</c:v>
                </c:pt>
                <c:pt idx="7">
                  <c:v>0.42</c:v>
                </c:pt>
                <c:pt idx="8">
                  <c:v>0.42</c:v>
                </c:pt>
                <c:pt idx="9">
                  <c:v>0.24</c:v>
                </c:pt>
              </c:numCache>
            </c:numRef>
          </c:val>
        </c:ser>
        <c:gapWidth val="150"/>
        <c:overlap val="0"/>
        <c:axId val="51678345"/>
        <c:axId val="10712178"/>
      </c:barChart>
      <c:catAx>
        <c:axId val="5167834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ROI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712178"/>
        <c:crosses val="autoZero"/>
        <c:auto val="1"/>
        <c:lblAlgn val="ctr"/>
        <c:lblOffset val="100"/>
        <c:noMultiLvlLbl val="0"/>
      </c:catAx>
      <c:valAx>
        <c:axId val="107121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Parametro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67834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Distribuzione ROI – Monte Carlo PSA (N=1.000)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'4_MonteCarlo_PSA'!C25</c:f>
              <c:strCache>
                <c:ptCount val="1"/>
                <c:pt idx="0">
                  <c:v>Frequenza (n)</c:v>
                </c:pt>
              </c:strCache>
            </c:strRef>
          </c:tx>
          <c:spPr>
            <a:solidFill>
              <a:srgbClr val="20808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'4_MonteCarlo_PSA'!$B$26:$B$37</c:f>
              <c:strCache>
                <c:ptCount val="12"/>
                <c:pt idx="0">
                  <c:v>-25.4% – 39.6%</c:v>
                </c:pt>
                <c:pt idx="1">
                  <c:v>39.6% – 104.7%</c:v>
                </c:pt>
                <c:pt idx="2">
                  <c:v>104.7% – 169.7%</c:v>
                </c:pt>
                <c:pt idx="3">
                  <c:v>169.7% – 234.7%</c:v>
                </c:pt>
                <c:pt idx="4">
                  <c:v>234.7% – 299.8%</c:v>
                </c:pt>
                <c:pt idx="5">
                  <c:v>299.8% – 364.8%</c:v>
                </c:pt>
                <c:pt idx="6">
                  <c:v>364.8% – 429.9%</c:v>
                </c:pt>
                <c:pt idx="7">
                  <c:v>429.9% – 494.9%</c:v>
                </c:pt>
                <c:pt idx="8">
                  <c:v>494.9% – 559.9%</c:v>
                </c:pt>
                <c:pt idx="9">
                  <c:v>559.9% – 625.0%</c:v>
                </c:pt>
                <c:pt idx="10">
                  <c:v>625.0% – 690.0%</c:v>
                </c:pt>
                <c:pt idx="11">
                  <c:v>690.0% – 755.0%</c:v>
                </c:pt>
              </c:strCache>
            </c:strRef>
          </c:cat>
          <c:val>
            <c:numRef>
              <c:f>'4_MonteCarlo_PSA'!$C$26:$C$37</c:f>
              <c:numCache>
                <c:formatCode>#,##0</c:formatCode>
                <c:ptCount val="12"/>
                <c:pt idx="0">
                  <c:v>621</c:v>
                </c:pt>
                <c:pt idx="1">
                  <c:v>235</c:v>
                </c:pt>
                <c:pt idx="2">
                  <c:v>78</c:v>
                </c:pt>
                <c:pt idx="3">
                  <c:v>46</c:v>
                </c:pt>
                <c:pt idx="4">
                  <c:v>12</c:v>
                </c:pt>
                <c:pt idx="5">
                  <c:v>4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9952776"/>
        <c:axId val="23587318"/>
      </c:barChart>
      <c:catAx>
        <c:axId val="99527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Intervallo ROI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587318"/>
        <c:crosses val="autoZero"/>
        <c:auto val="1"/>
        <c:lblAlgn val="ctr"/>
        <c:lblOffset val="100"/>
        <c:noMultiLvlLbl val="0"/>
      </c:catAx>
      <c:valAx>
        <c:axId val="235873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Frequenza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5277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0</xdr:rowOff>
    </xdr:from>
    <xdr:to>
      <xdr:col>9</xdr:col>
      <xdr:colOff>116280</xdr:colOff>
      <xdr:row>51</xdr:row>
      <xdr:rowOff>2160</xdr:rowOff>
    </xdr:to>
    <xdr:graphicFrame>
      <xdr:nvGraphicFramePr>
        <xdr:cNvPr id="1" name="Chart 1"/>
        <xdr:cNvGraphicFramePr/>
      </xdr:nvGraphicFramePr>
      <xdr:xfrm>
        <a:off x="211320" y="3657600"/>
        <a:ext cx="7919280" cy="64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23</xdr:row>
      <xdr:rowOff>0</xdr:rowOff>
    </xdr:from>
    <xdr:to>
      <xdr:col>12</xdr:col>
      <xdr:colOff>455400</xdr:colOff>
      <xdr:row>44</xdr:row>
      <xdr:rowOff>23400</xdr:rowOff>
    </xdr:to>
    <xdr:graphicFrame>
      <xdr:nvGraphicFramePr>
        <xdr:cNvPr id="2" name="Chart 1"/>
        <xdr:cNvGraphicFramePr/>
      </xdr:nvGraphicFramePr>
      <xdr:xfrm>
        <a:off x="5286240" y="5095800"/>
        <a:ext cx="719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8"/>
    <col collapsed="false" customWidth="true" hidden="false" outlineLevel="0" max="5" min="5" style="1" width="20"/>
    <col collapsed="false" customWidth="true" hidden="false" outlineLevel="0" max="6" min="6" style="1" width="14"/>
  </cols>
  <sheetData>
    <row r="1" customFormat="false" ht="9.75" hidden="false" customHeight="true" outlineLevel="0" collapsed="false"/>
    <row r="2" customFormat="false" ht="31.5" hidden="false" customHeight="true" outlineLevel="0" collapsed="false">
      <c r="B2" s="2" t="s">
        <v>0</v>
      </c>
      <c r="C2" s="2"/>
      <c r="D2" s="2"/>
      <c r="E2" s="2"/>
      <c r="F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</row>
    <row r="5" customFormat="false" ht="21.75" hidden="false" customHeight="true" outlineLevel="0" collapsed="false">
      <c r="B5" s="4" t="s">
        <v>2</v>
      </c>
      <c r="C5" s="4"/>
      <c r="D5" s="4"/>
      <c r="E5" s="4"/>
      <c r="F5" s="4"/>
    </row>
    <row r="6" customFormat="false" ht="31.5" hidden="false" customHeight="true" outlineLevel="0" collapsed="false">
      <c r="B6" s="5" t="s">
        <v>3</v>
      </c>
      <c r="C6" s="5" t="s">
        <v>4</v>
      </c>
      <c r="D6" s="5" t="s">
        <v>5</v>
      </c>
      <c r="E6" s="5" t="s">
        <v>6</v>
      </c>
    </row>
    <row r="7" customFormat="false" ht="15" hidden="false" customHeight="true" outlineLevel="0" collapsed="false">
      <c r="B7" s="6" t="s">
        <v>7</v>
      </c>
      <c r="C7" s="7" t="n">
        <v>250000</v>
      </c>
      <c r="D7" s="6" t="s">
        <v>8</v>
      </c>
      <c r="E7" s="6" t="s">
        <v>9</v>
      </c>
    </row>
    <row r="8" customFormat="false" ht="15" hidden="false" customHeight="true" outlineLevel="0" collapsed="false">
      <c r="B8" s="8" t="s">
        <v>10</v>
      </c>
      <c r="C8" s="9" t="n">
        <v>0.15</v>
      </c>
      <c r="D8" s="8" t="s">
        <v>11</v>
      </c>
      <c r="E8" s="8" t="s">
        <v>12</v>
      </c>
    </row>
    <row r="9" customFormat="false" ht="15" hidden="false" customHeight="true" outlineLevel="0" collapsed="false">
      <c r="B9" s="6" t="s">
        <v>13</v>
      </c>
      <c r="C9" s="10" t="n">
        <v>0.08</v>
      </c>
      <c r="D9" s="6" t="s">
        <v>11</v>
      </c>
      <c r="E9" s="6" t="s">
        <v>14</v>
      </c>
    </row>
    <row r="10" customFormat="false" ht="15" hidden="false" customHeight="true" outlineLevel="0" collapsed="false">
      <c r="B10" s="8" t="s">
        <v>15</v>
      </c>
      <c r="C10" s="11" t="n">
        <v>37500</v>
      </c>
      <c r="D10" s="8" t="s">
        <v>8</v>
      </c>
      <c r="E10" s="8" t="s">
        <v>16</v>
      </c>
    </row>
    <row r="11" customFormat="false" ht="15" hidden="false" customHeight="true" outlineLevel="0" collapsed="false">
      <c r="B11" s="6" t="s">
        <v>17</v>
      </c>
      <c r="C11" s="7" t="n">
        <v>12</v>
      </c>
      <c r="D11" s="6" t="s">
        <v>18</v>
      </c>
      <c r="E11" s="6" t="s">
        <v>19</v>
      </c>
    </row>
    <row r="12" customFormat="false" ht="15" hidden="false" customHeight="true" outlineLevel="0" collapsed="false">
      <c r="B12" s="8" t="s">
        <v>20</v>
      </c>
      <c r="C12" s="9" t="n">
        <v>0.1</v>
      </c>
      <c r="D12" s="8" t="s">
        <v>11</v>
      </c>
      <c r="E12" s="8" t="s">
        <v>21</v>
      </c>
    </row>
    <row r="14" customFormat="false" ht="21.75" hidden="false" customHeight="true" outlineLevel="0" collapsed="false">
      <c r="B14" s="12" t="s">
        <v>22</v>
      </c>
      <c r="C14" s="12"/>
      <c r="D14" s="12"/>
      <c r="E14" s="12"/>
      <c r="F14" s="12"/>
    </row>
    <row r="15" customFormat="false" ht="31.5" hidden="false" customHeight="true" outlineLevel="0" collapsed="false">
      <c r="B15" s="5" t="s">
        <v>23</v>
      </c>
      <c r="C15" s="5" t="s">
        <v>24</v>
      </c>
      <c r="D15" s="5" t="s">
        <v>25</v>
      </c>
      <c r="E15" s="5" t="s">
        <v>26</v>
      </c>
      <c r="F15" s="5" t="s">
        <v>6</v>
      </c>
    </row>
    <row r="16" customFormat="false" ht="15" hidden="false" customHeight="true" outlineLevel="0" collapsed="false">
      <c r="B16" s="6" t="s">
        <v>27</v>
      </c>
      <c r="C16" s="13" t="n">
        <v>8500</v>
      </c>
      <c r="D16" s="13" t="n">
        <v>12000</v>
      </c>
      <c r="E16" s="13" t="n">
        <f aca="false">D16-C16</f>
        <v>3500</v>
      </c>
      <c r="F16" s="6" t="s">
        <v>28</v>
      </c>
    </row>
    <row r="17" customFormat="false" ht="15" hidden="false" customHeight="true" outlineLevel="0" collapsed="false">
      <c r="B17" s="8" t="s">
        <v>29</v>
      </c>
      <c r="C17" s="14" t="n">
        <v>320</v>
      </c>
      <c r="D17" s="14" t="n">
        <v>180</v>
      </c>
      <c r="E17" s="14" t="n">
        <f aca="false">D17-C17</f>
        <v>-140</v>
      </c>
      <c r="F17" s="8" t="s">
        <v>30</v>
      </c>
    </row>
    <row r="18" customFormat="false" ht="15" hidden="false" customHeight="true" outlineLevel="0" collapsed="false">
      <c r="B18" s="6" t="s">
        <v>31</v>
      </c>
      <c r="C18" s="13" t="n">
        <v>450</v>
      </c>
      <c r="D18" s="13" t="n">
        <v>290</v>
      </c>
      <c r="E18" s="13" t="n">
        <f aca="false">D18-C18</f>
        <v>-160</v>
      </c>
      <c r="F18" s="6" t="s">
        <v>32</v>
      </c>
    </row>
    <row r="19" customFormat="false" ht="15" hidden="false" customHeight="true" outlineLevel="0" collapsed="false">
      <c r="B19" s="8" t="s">
        <v>33</v>
      </c>
      <c r="C19" s="14" t="n">
        <v>680</v>
      </c>
      <c r="D19" s="14" t="n">
        <v>310</v>
      </c>
      <c r="E19" s="14" t="n">
        <f aca="false">D19-C19</f>
        <v>-370</v>
      </c>
      <c r="F19" s="8" t="s">
        <v>34</v>
      </c>
    </row>
    <row r="20" customFormat="false" ht="15" hidden="false" customHeight="true" outlineLevel="0" collapsed="false">
      <c r="B20" s="6" t="s">
        <v>35</v>
      </c>
      <c r="C20" s="13" t="n">
        <v>-1200</v>
      </c>
      <c r="D20" s="13" t="n">
        <v>-1800</v>
      </c>
      <c r="E20" s="13" t="n">
        <f aca="false">D20-C20</f>
        <v>-600</v>
      </c>
      <c r="F20" s="6" t="s">
        <v>36</v>
      </c>
    </row>
    <row r="21" customFormat="false" ht="15" hidden="false" customHeight="true" outlineLevel="0" collapsed="false">
      <c r="B21" s="15" t="s">
        <v>37</v>
      </c>
      <c r="C21" s="16" t="n">
        <f aca="false">SUM(C16:C20)</f>
        <v>8750</v>
      </c>
      <c r="D21" s="16" t="n">
        <f aca="false">SUM(D16:D20)</f>
        <v>10980</v>
      </c>
      <c r="E21" s="16" t="n">
        <f aca="false">D21-C21</f>
        <v>2230</v>
      </c>
      <c r="F21" s="15"/>
    </row>
    <row r="23" customFormat="false" ht="21.75" hidden="false" customHeight="true" outlineLevel="0" collapsed="false">
      <c r="B23" s="17" t="s">
        <v>38</v>
      </c>
      <c r="C23" s="17"/>
      <c r="D23" s="17"/>
      <c r="E23" s="17"/>
      <c r="F23" s="17"/>
    </row>
    <row r="24" customFormat="false" ht="31.5" hidden="false" customHeight="true" outlineLevel="0" collapsed="false">
      <c r="B24" s="18" t="s">
        <v>3</v>
      </c>
      <c r="C24" s="18" t="s">
        <v>4</v>
      </c>
      <c r="D24" s="18" t="s">
        <v>39</v>
      </c>
      <c r="E24" s="18" t="s">
        <v>40</v>
      </c>
      <c r="F24" s="18" t="s">
        <v>5</v>
      </c>
    </row>
    <row r="25" customFormat="false" ht="15" hidden="false" customHeight="true" outlineLevel="0" collapsed="false">
      <c r="B25" s="6" t="s">
        <v>41</v>
      </c>
      <c r="C25" s="19" t="n">
        <v>0.28</v>
      </c>
      <c r="D25" s="20" t="n">
        <v>0.15</v>
      </c>
      <c r="E25" s="20" t="n">
        <v>0.45</v>
      </c>
      <c r="F25" s="21" t="s">
        <v>11</v>
      </c>
    </row>
    <row r="26" customFormat="false" ht="15" hidden="false" customHeight="true" outlineLevel="0" collapsed="false">
      <c r="B26" s="22" t="s">
        <v>42</v>
      </c>
      <c r="C26" s="23" t="n">
        <v>0.12</v>
      </c>
      <c r="D26" s="24" t="n">
        <v>0.05</v>
      </c>
      <c r="E26" s="24" t="n">
        <v>0.25</v>
      </c>
      <c r="F26" s="25" t="s">
        <v>11</v>
      </c>
    </row>
    <row r="27" customFormat="false" ht="15" hidden="false" customHeight="true" outlineLevel="0" collapsed="false">
      <c r="B27" s="6" t="s">
        <v>43</v>
      </c>
      <c r="C27" s="26" t="n">
        <v>32000</v>
      </c>
      <c r="D27" s="27" t="n">
        <v>25000</v>
      </c>
      <c r="E27" s="27" t="n">
        <v>42000</v>
      </c>
      <c r="F27" s="21" t="s">
        <v>44</v>
      </c>
    </row>
    <row r="28" customFormat="false" ht="15" hidden="false" customHeight="true" outlineLevel="0" collapsed="false">
      <c r="B28" s="22" t="s">
        <v>45</v>
      </c>
      <c r="C28" s="28" t="n">
        <v>1720</v>
      </c>
      <c r="D28" s="29" t="n">
        <v>1600</v>
      </c>
      <c r="E28" s="29" t="n">
        <v>1800</v>
      </c>
      <c r="F28" s="25" t="s">
        <v>46</v>
      </c>
    </row>
    <row r="29" customFormat="false" ht="15" hidden="false" customHeight="true" outlineLevel="0" collapsed="false">
      <c r="B29" s="6" t="s">
        <v>47</v>
      </c>
      <c r="C29" s="19" t="n">
        <v>0.62</v>
      </c>
      <c r="D29" s="20" t="n">
        <v>0.5</v>
      </c>
      <c r="E29" s="20" t="n">
        <v>0.75</v>
      </c>
      <c r="F29" s="21" t="s">
        <v>11</v>
      </c>
    </row>
    <row r="30" customFormat="false" ht="15" hidden="false" customHeight="true" outlineLevel="0" collapsed="false">
      <c r="B30" s="22" t="s">
        <v>48</v>
      </c>
      <c r="C30" s="23" t="n">
        <v>0.35</v>
      </c>
      <c r="D30" s="24" t="n">
        <v>0.2</v>
      </c>
      <c r="E30" s="24" t="n">
        <v>0.55</v>
      </c>
      <c r="F30" s="25" t="s">
        <v>11</v>
      </c>
    </row>
    <row r="31" customFormat="false" ht="15" hidden="false" customHeight="true" outlineLevel="0" collapsed="false">
      <c r="B31" s="6" t="s">
        <v>49</v>
      </c>
      <c r="C31" s="30" t="n">
        <v>1.35</v>
      </c>
      <c r="D31" s="31" t="n">
        <v>1.2</v>
      </c>
      <c r="E31" s="31" t="n">
        <v>1.5</v>
      </c>
      <c r="F31" s="21" t="s">
        <v>50</v>
      </c>
    </row>
    <row r="32" customFormat="false" ht="15" hidden="false" customHeight="true" outlineLevel="0" collapsed="false">
      <c r="B32" s="22" t="s">
        <v>51</v>
      </c>
      <c r="C32" s="32" t="n">
        <f aca="false">C27*C29/C30*C28*C31</f>
        <v>131624228.571429</v>
      </c>
      <c r="D32" s="33"/>
      <c r="E32" s="33"/>
      <c r="F32" s="25" t="s">
        <v>52</v>
      </c>
    </row>
    <row r="33" customFormat="false" ht="15" hidden="false" customHeight="true" outlineLevel="0" collapsed="false">
      <c r="B33" s="6" t="s">
        <v>53</v>
      </c>
      <c r="C33" s="26" t="n">
        <f aca="false">C26*C29*C28*C31</f>
        <v>172.7568</v>
      </c>
      <c r="D33" s="34"/>
      <c r="E33" s="34"/>
      <c r="F33" s="21" t="s">
        <v>52</v>
      </c>
    </row>
    <row r="34" customFormat="false" ht="15" hidden="false" customHeight="true" outlineLevel="0" collapsed="false">
      <c r="B34" s="35" t="s">
        <v>54</v>
      </c>
      <c r="C34" s="36" t="n">
        <f aca="false">C32+C33</f>
        <v>131624401.328229</v>
      </c>
      <c r="D34" s="35"/>
      <c r="E34" s="35"/>
      <c r="F34" s="37" t="s">
        <v>55</v>
      </c>
    </row>
    <row r="36" customFormat="false" ht="21.75" hidden="false" customHeight="true" outlineLevel="0" collapsed="false">
      <c r="B36" s="4" t="s">
        <v>56</v>
      </c>
      <c r="C36" s="4"/>
      <c r="D36" s="4"/>
      <c r="E36" s="4"/>
      <c r="F36" s="4"/>
    </row>
    <row r="37" customFormat="false" ht="31.5" hidden="false" customHeight="true" outlineLevel="0" collapsed="false">
      <c r="B37" s="5" t="s">
        <v>57</v>
      </c>
      <c r="C37" s="5" t="s">
        <v>58</v>
      </c>
      <c r="D37" s="5" t="s">
        <v>59</v>
      </c>
      <c r="E37" s="5" t="s">
        <v>60</v>
      </c>
    </row>
    <row r="38" customFormat="false" ht="15" hidden="false" customHeight="true" outlineLevel="0" collapsed="false">
      <c r="B38" s="6" t="s">
        <v>61</v>
      </c>
      <c r="C38" s="38" t="n">
        <f aca="false">(D21-C21)*C10</f>
        <v>83625000</v>
      </c>
      <c r="D38" s="39" t="s">
        <v>62</v>
      </c>
      <c r="E38" s="40" t="s">
        <v>63</v>
      </c>
    </row>
    <row r="39" customFormat="false" ht="15" hidden="false" customHeight="true" outlineLevel="0" collapsed="false">
      <c r="B39" s="8" t="s">
        <v>64</v>
      </c>
      <c r="C39" s="38" t="n">
        <f aca="false">C34*C32*C31*37500</f>
        <v>8.77076114478963E+020</v>
      </c>
      <c r="D39" s="41" t="s">
        <v>65</v>
      </c>
      <c r="E39" s="42" t="s">
        <v>66</v>
      </c>
    </row>
    <row r="40" customFormat="false" ht="15" hidden="false" customHeight="true" outlineLevel="0" collapsed="false">
      <c r="B40" s="6" t="s">
        <v>67</v>
      </c>
      <c r="C40" s="38" t="n">
        <f aca="false">ABS(D20-C20)*C10</f>
        <v>22500000</v>
      </c>
      <c r="D40" s="39" t="s">
        <v>68</v>
      </c>
      <c r="E40" s="40" t="s">
        <v>69</v>
      </c>
    </row>
    <row r="41" customFormat="false" ht="15" hidden="false" customHeight="true" outlineLevel="0" collapsed="false">
      <c r="B41" s="8" t="s">
        <v>70</v>
      </c>
      <c r="C41" s="43" t="n">
        <f aca="false">(C39+C40-C38)/ABS(C38)</f>
        <v>10488204657445.8</v>
      </c>
      <c r="D41" s="41" t="s">
        <v>71</v>
      </c>
      <c r="E41" s="42" t="s">
        <v>72</v>
      </c>
    </row>
    <row r="42" customFormat="false" ht="15" hidden="false" customHeight="true" outlineLevel="0" collapsed="false">
      <c r="B42" s="6" t="s">
        <v>73</v>
      </c>
      <c r="C42" s="44" t="n">
        <f aca="false">ABS(C38)/(C39+C40)</f>
        <v>9.53452027931193E-014</v>
      </c>
      <c r="D42" s="39" t="s">
        <v>74</v>
      </c>
      <c r="E42" s="40" t="s">
        <v>75</v>
      </c>
    </row>
    <row r="43" customFormat="false" ht="15" hidden="false" customHeight="true" outlineLevel="0" collapsed="false">
      <c r="B43" s="8" t="s">
        <v>76</v>
      </c>
      <c r="C43" s="38" t="n">
        <f aca="false">C39+C40-C38</f>
        <v>8.77076114478902E+020</v>
      </c>
      <c r="D43" s="41" t="s">
        <v>77</v>
      </c>
      <c r="E43" s="42" t="s">
        <v>78</v>
      </c>
    </row>
  </sheetData>
  <mergeCells count="6">
    <mergeCell ref="B2:F2"/>
    <mergeCell ref="B3:F3"/>
    <mergeCell ref="B5:F5"/>
    <mergeCell ref="B14:F14"/>
    <mergeCell ref="B23:F23"/>
    <mergeCell ref="B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14"/>
    <col collapsed="false" customWidth="true" hidden="false" outlineLevel="0" max="9" min="4" style="1" width="13"/>
    <col collapsed="false" customWidth="true" hidden="false" outlineLevel="0" max="10" min="10" style="1" width="14"/>
  </cols>
  <sheetData>
    <row r="1" customFormat="false" ht="9.75" hidden="false" customHeight="true" outlineLevel="0" collapsed="false"/>
    <row r="2" customFormat="false" ht="30" hidden="false" customHeight="true" outlineLevel="0" collapsed="false">
      <c r="B2" s="2" t="s">
        <v>79</v>
      </c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B3" s="3" t="s">
        <v>80</v>
      </c>
      <c r="C3" s="3"/>
      <c r="D3" s="3"/>
      <c r="E3" s="3"/>
      <c r="F3" s="3"/>
      <c r="G3" s="3"/>
      <c r="H3" s="3"/>
      <c r="I3" s="3"/>
      <c r="J3" s="3"/>
    </row>
    <row r="5" customFormat="false" ht="21.75" hidden="false" customHeight="true" outlineLevel="0" collapsed="false">
      <c r="B5" s="12" t="s">
        <v>81</v>
      </c>
      <c r="C5" s="12"/>
      <c r="D5" s="12"/>
      <c r="E5" s="12"/>
      <c r="F5" s="12"/>
      <c r="G5" s="12"/>
      <c r="H5" s="12"/>
      <c r="I5" s="12"/>
      <c r="J5" s="12"/>
    </row>
    <row r="6" customFormat="false" ht="31.5" hidden="false" customHeight="true" outlineLevel="0" collapsed="false">
      <c r="B6" s="5" t="s">
        <v>3</v>
      </c>
      <c r="C6" s="5" t="s">
        <v>4</v>
      </c>
      <c r="D6" s="5" t="s">
        <v>82</v>
      </c>
      <c r="E6" s="5" t="s">
        <v>83</v>
      </c>
      <c r="F6" s="5" t="s">
        <v>84</v>
      </c>
      <c r="G6" s="5" t="s">
        <v>85</v>
      </c>
      <c r="H6" s="5" t="s">
        <v>86</v>
      </c>
      <c r="I6" s="5" t="s">
        <v>87</v>
      </c>
      <c r="J6" s="5" t="s">
        <v>88</v>
      </c>
    </row>
    <row r="7" customFormat="false" ht="15" hidden="false" customHeight="true" outlineLevel="0" collapsed="false">
      <c r="B7" s="6" t="s">
        <v>89</v>
      </c>
      <c r="C7" s="45" t="n">
        <v>12000</v>
      </c>
      <c r="D7" s="46" t="n">
        <v>0.62</v>
      </c>
      <c r="E7" s="46" t="n">
        <v>0.48</v>
      </c>
      <c r="F7" s="46" t="n">
        <v>0.4</v>
      </c>
      <c r="G7" s="47" t="n">
        <v>0.25</v>
      </c>
      <c r="H7" s="47" t="n">
        <v>0.16</v>
      </c>
      <c r="I7" s="47" t="n">
        <v>0.02</v>
      </c>
      <c r="J7" s="48" t="n">
        <v>0.6</v>
      </c>
    </row>
    <row r="8" customFormat="false" ht="15" hidden="false" customHeight="true" outlineLevel="0" collapsed="false">
      <c r="B8" s="49" t="s">
        <v>48</v>
      </c>
      <c r="C8" s="50" t="n">
        <v>0.35</v>
      </c>
      <c r="D8" s="47" t="n">
        <v>0.12</v>
      </c>
      <c r="E8" s="47" t="n">
        <v>0.22</v>
      </c>
      <c r="F8" s="47" t="n">
        <v>0.28</v>
      </c>
      <c r="G8" s="46" t="n">
        <v>0.37</v>
      </c>
      <c r="H8" s="46" t="n">
        <v>0.44</v>
      </c>
      <c r="I8" s="46" t="n">
        <v>0.58</v>
      </c>
      <c r="J8" s="48" t="n">
        <v>0.46</v>
      </c>
    </row>
    <row r="9" customFormat="false" ht="15" hidden="false" customHeight="true" outlineLevel="0" collapsed="false">
      <c r="B9" s="6" t="s">
        <v>35</v>
      </c>
      <c r="C9" s="45" t="n">
        <v>1800</v>
      </c>
      <c r="D9" s="47" t="n">
        <v>0.12</v>
      </c>
      <c r="E9" s="47" t="n">
        <v>0.21</v>
      </c>
      <c r="F9" s="47" t="n">
        <v>0.27</v>
      </c>
      <c r="G9" s="46" t="n">
        <v>0.38</v>
      </c>
      <c r="H9" s="46" t="n">
        <v>0.45</v>
      </c>
      <c r="I9" s="46" t="n">
        <v>0.58</v>
      </c>
      <c r="J9" s="48" t="n">
        <v>0.46</v>
      </c>
    </row>
    <row r="10" customFormat="false" ht="15" hidden="false" customHeight="true" outlineLevel="0" collapsed="false">
      <c r="B10" s="49" t="s">
        <v>47</v>
      </c>
      <c r="C10" s="50" t="n">
        <v>0.62</v>
      </c>
      <c r="D10" s="47" t="n">
        <v>0.15</v>
      </c>
      <c r="E10" s="47" t="n">
        <v>0.23</v>
      </c>
      <c r="F10" s="47" t="n">
        <v>0.28</v>
      </c>
      <c r="G10" s="46" t="n">
        <v>0.36</v>
      </c>
      <c r="H10" s="46" t="n">
        <v>0.42</v>
      </c>
      <c r="I10" s="46" t="n">
        <v>0.52</v>
      </c>
      <c r="J10" s="48" t="n">
        <v>0.37</v>
      </c>
    </row>
    <row r="11" customFormat="false" ht="15" hidden="false" customHeight="true" outlineLevel="0" collapsed="false">
      <c r="B11" s="6" t="s">
        <v>90</v>
      </c>
      <c r="C11" s="45" t="n">
        <v>32000</v>
      </c>
      <c r="D11" s="47" t="n">
        <v>0.18</v>
      </c>
      <c r="E11" s="47" t="n">
        <v>0.24</v>
      </c>
      <c r="F11" s="47" t="n">
        <v>0.29</v>
      </c>
      <c r="G11" s="46" t="n">
        <v>0.35</v>
      </c>
      <c r="H11" s="46" t="n">
        <v>0.4</v>
      </c>
      <c r="I11" s="46" t="n">
        <v>0.48</v>
      </c>
      <c r="J11" s="48" t="n">
        <v>0.3</v>
      </c>
    </row>
    <row r="12" customFormat="false" ht="15" hidden="false" customHeight="true" outlineLevel="0" collapsed="false">
      <c r="B12" s="49" t="s">
        <v>91</v>
      </c>
      <c r="C12" s="50" t="n">
        <v>1.35</v>
      </c>
      <c r="D12" s="47" t="n">
        <v>0.2</v>
      </c>
      <c r="E12" s="47" t="n">
        <v>0.25</v>
      </c>
      <c r="F12" s="47" t="n">
        <v>0.29</v>
      </c>
      <c r="G12" s="46" t="n">
        <v>0.35</v>
      </c>
      <c r="H12" s="46" t="n">
        <v>0.4</v>
      </c>
      <c r="I12" s="46" t="n">
        <v>0.48</v>
      </c>
      <c r="J12" s="48" t="n">
        <v>0.28</v>
      </c>
    </row>
    <row r="13" customFormat="false" ht="15" hidden="false" customHeight="true" outlineLevel="0" collapsed="false">
      <c r="B13" s="6" t="s">
        <v>92</v>
      </c>
      <c r="C13" s="50" t="n">
        <v>0.28</v>
      </c>
      <c r="D13" s="47" t="n">
        <v>0.22</v>
      </c>
      <c r="E13" s="47" t="n">
        <v>0.27</v>
      </c>
      <c r="F13" s="47" t="n">
        <v>0.3</v>
      </c>
      <c r="G13" s="46" t="n">
        <v>0.35</v>
      </c>
      <c r="H13" s="46" t="n">
        <v>0.38</v>
      </c>
      <c r="I13" s="46" t="n">
        <v>0.42</v>
      </c>
      <c r="J13" s="48" t="n">
        <v>0.2</v>
      </c>
    </row>
    <row r="14" customFormat="false" ht="15" hidden="false" customHeight="true" outlineLevel="0" collapsed="false">
      <c r="B14" s="49" t="s">
        <v>45</v>
      </c>
      <c r="C14" s="45" t="n">
        <v>1720</v>
      </c>
      <c r="D14" s="47" t="n">
        <v>0.22</v>
      </c>
      <c r="E14" s="47" t="n">
        <v>0.27</v>
      </c>
      <c r="F14" s="47" t="n">
        <v>0.3</v>
      </c>
      <c r="G14" s="46" t="n">
        <v>0.34</v>
      </c>
      <c r="H14" s="46" t="n">
        <v>0.37</v>
      </c>
      <c r="I14" s="46" t="n">
        <v>0.42</v>
      </c>
      <c r="J14" s="48" t="n">
        <v>0.2</v>
      </c>
    </row>
    <row r="15" customFormat="false" ht="15" hidden="false" customHeight="true" outlineLevel="0" collapsed="false">
      <c r="B15" s="6" t="s">
        <v>93</v>
      </c>
      <c r="C15" s="50" t="n">
        <v>0.12</v>
      </c>
      <c r="D15" s="47" t="n">
        <v>0.25</v>
      </c>
      <c r="E15" s="47" t="n">
        <v>0.28</v>
      </c>
      <c r="F15" s="47" t="n">
        <v>0.3</v>
      </c>
      <c r="G15" s="46" t="n">
        <v>0.34</v>
      </c>
      <c r="H15" s="46" t="n">
        <v>0.37</v>
      </c>
      <c r="I15" s="46" t="n">
        <v>0.42</v>
      </c>
      <c r="J15" s="48" t="n">
        <v>0.17</v>
      </c>
    </row>
    <row r="16" customFormat="false" ht="15" hidden="false" customHeight="true" outlineLevel="0" collapsed="false">
      <c r="B16" s="49" t="s">
        <v>94</v>
      </c>
      <c r="C16" s="45" t="n">
        <v>680</v>
      </c>
      <c r="D16" s="46" t="n">
        <v>0.38</v>
      </c>
      <c r="E16" s="46" t="n">
        <v>0.35</v>
      </c>
      <c r="F16" s="46" t="n">
        <v>0.33</v>
      </c>
      <c r="G16" s="47" t="n">
        <v>0.31</v>
      </c>
      <c r="H16" s="47" t="n">
        <v>0.29</v>
      </c>
      <c r="I16" s="47" t="n">
        <v>0.24</v>
      </c>
      <c r="J16" s="48" t="n">
        <v>0.14</v>
      </c>
    </row>
    <row r="17" customFormat="false" ht="19.5" hidden="false" customHeight="true" outlineLevel="0" collapsed="false">
      <c r="B17" s="51" t="s">
        <v>95</v>
      </c>
      <c r="C17" s="51"/>
      <c r="D17" s="51"/>
      <c r="E17" s="51"/>
      <c r="F17" s="51"/>
      <c r="G17" s="51"/>
      <c r="H17" s="51"/>
      <c r="I17" s="51"/>
      <c r="J17" s="51"/>
    </row>
  </sheetData>
  <mergeCells count="4">
    <mergeCell ref="B2:J2"/>
    <mergeCell ref="B3:J3"/>
    <mergeCell ref="B5:J5"/>
    <mergeCell ref="B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5" min="3" style="1" width="14"/>
  </cols>
  <sheetData>
    <row r="1" customFormat="false" ht="9.75" hidden="false" customHeight="true" outlineLevel="0" collapsed="false"/>
    <row r="2" customFormat="false" ht="30" hidden="false" customHeight="true" outlineLevel="0" collapsed="false">
      <c r="B2" s="2" t="s">
        <v>96</v>
      </c>
      <c r="C2" s="2"/>
      <c r="D2" s="2"/>
      <c r="E2" s="2"/>
    </row>
    <row r="4" customFormat="false" ht="21.75" hidden="false" customHeight="true" outlineLevel="0" collapsed="false">
      <c r="B4" s="17" t="s">
        <v>97</v>
      </c>
      <c r="C4" s="17"/>
      <c r="D4" s="17"/>
      <c r="E4" s="17"/>
    </row>
    <row r="5" customFormat="false" ht="31.5" hidden="false" customHeight="true" outlineLevel="0" collapsed="false">
      <c r="B5" s="18" t="s">
        <v>3</v>
      </c>
      <c r="C5" s="18" t="s">
        <v>98</v>
      </c>
      <c r="D5" s="18" t="s">
        <v>99</v>
      </c>
      <c r="E5" s="18" t="s">
        <v>100</v>
      </c>
    </row>
    <row r="6" customFormat="false" ht="15" hidden="false" customHeight="true" outlineLevel="0" collapsed="false">
      <c r="B6" s="6" t="s">
        <v>89</v>
      </c>
      <c r="C6" s="52" t="n">
        <v>0.62</v>
      </c>
      <c r="D6" s="53" t="n">
        <v>0.324</v>
      </c>
      <c r="E6" s="54" t="n">
        <v>0.02</v>
      </c>
    </row>
    <row r="7" customFormat="false" ht="15" hidden="false" customHeight="true" outlineLevel="0" collapsed="false">
      <c r="B7" s="22" t="s">
        <v>48</v>
      </c>
      <c r="C7" s="54" t="n">
        <v>0.12</v>
      </c>
      <c r="D7" s="53" t="n">
        <v>0.324</v>
      </c>
      <c r="E7" s="52" t="n">
        <v>0.58</v>
      </c>
    </row>
    <row r="8" customFormat="false" ht="15" hidden="false" customHeight="true" outlineLevel="0" collapsed="false">
      <c r="B8" s="6" t="s">
        <v>35</v>
      </c>
      <c r="C8" s="54" t="n">
        <v>0.12</v>
      </c>
      <c r="D8" s="53" t="n">
        <v>0.324</v>
      </c>
      <c r="E8" s="52" t="n">
        <v>0.58</v>
      </c>
    </row>
    <row r="9" customFormat="false" ht="15" hidden="false" customHeight="true" outlineLevel="0" collapsed="false">
      <c r="B9" s="22" t="s">
        <v>47</v>
      </c>
      <c r="C9" s="54" t="n">
        <v>0.15</v>
      </c>
      <c r="D9" s="53" t="n">
        <v>0.324</v>
      </c>
      <c r="E9" s="52" t="n">
        <v>0.52</v>
      </c>
    </row>
    <row r="10" customFormat="false" ht="15" hidden="false" customHeight="true" outlineLevel="0" collapsed="false">
      <c r="B10" s="6" t="s">
        <v>90</v>
      </c>
      <c r="C10" s="54" t="n">
        <v>0.18</v>
      </c>
      <c r="D10" s="53" t="n">
        <v>0.324</v>
      </c>
      <c r="E10" s="52" t="n">
        <v>0.48</v>
      </c>
    </row>
    <row r="11" customFormat="false" ht="15" hidden="false" customHeight="true" outlineLevel="0" collapsed="false">
      <c r="B11" s="22" t="s">
        <v>91</v>
      </c>
      <c r="C11" s="54" t="n">
        <v>0.2</v>
      </c>
      <c r="D11" s="53" t="n">
        <v>0.324</v>
      </c>
      <c r="E11" s="52" t="n">
        <v>0.48</v>
      </c>
    </row>
    <row r="12" customFormat="false" ht="15" hidden="false" customHeight="true" outlineLevel="0" collapsed="false">
      <c r="B12" s="6" t="s">
        <v>92</v>
      </c>
      <c r="C12" s="54" t="n">
        <v>0.22</v>
      </c>
      <c r="D12" s="53" t="n">
        <v>0.324</v>
      </c>
      <c r="E12" s="52" t="n">
        <v>0.42</v>
      </c>
    </row>
    <row r="13" customFormat="false" ht="15" hidden="false" customHeight="true" outlineLevel="0" collapsed="false">
      <c r="B13" s="22" t="s">
        <v>45</v>
      </c>
      <c r="C13" s="54" t="n">
        <v>0.22</v>
      </c>
      <c r="D13" s="53" t="n">
        <v>0.324</v>
      </c>
      <c r="E13" s="52" t="n">
        <v>0.42</v>
      </c>
    </row>
    <row r="14" customFormat="false" ht="15" hidden="false" customHeight="true" outlineLevel="0" collapsed="false">
      <c r="B14" s="6" t="s">
        <v>93</v>
      </c>
      <c r="C14" s="54" t="n">
        <v>0.25</v>
      </c>
      <c r="D14" s="53" t="n">
        <v>0.324</v>
      </c>
      <c r="E14" s="52" t="n">
        <v>0.42</v>
      </c>
    </row>
    <row r="15" customFormat="false" ht="15" hidden="false" customHeight="true" outlineLevel="0" collapsed="false">
      <c r="B15" s="22" t="s">
        <v>94</v>
      </c>
      <c r="C15" s="52" t="n">
        <v>0.38</v>
      </c>
      <c r="D15" s="53" t="n">
        <v>0.324</v>
      </c>
      <c r="E15" s="54" t="n">
        <v>0.24</v>
      </c>
    </row>
  </sheetData>
  <mergeCells count="2">
    <mergeCell ref="B2:E2"/>
    <mergeCell ref="B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10" min="4" style="1" width="13"/>
    <col collapsed="false" customWidth="true" hidden="false" outlineLevel="0" max="11" min="11" style="1" width="22"/>
  </cols>
  <sheetData>
    <row r="1" customFormat="false" ht="9.75" hidden="false" customHeight="true" outlineLevel="0" collapsed="false"/>
    <row r="2" customFormat="false" ht="30" hidden="false" customHeight="true" outlineLevel="0" collapsed="false">
      <c r="B2" s="2" t="s">
        <v>101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true" outlineLevel="0" collapsed="false">
      <c r="B3" s="3" t="s">
        <v>102</v>
      </c>
      <c r="C3" s="3"/>
      <c r="D3" s="3"/>
      <c r="E3" s="3"/>
      <c r="F3" s="3"/>
      <c r="G3" s="3"/>
      <c r="H3" s="3"/>
      <c r="I3" s="3"/>
      <c r="J3" s="3"/>
      <c r="K3" s="3"/>
    </row>
    <row r="5" customFormat="false" ht="21.75" hidden="false" customHeight="true" outlineLevel="0" collapsed="false">
      <c r="B5" s="55" t="s">
        <v>103</v>
      </c>
      <c r="C5" s="55"/>
      <c r="D5" s="55"/>
      <c r="E5" s="55"/>
      <c r="F5" s="55"/>
      <c r="G5" s="55"/>
      <c r="H5" s="55"/>
      <c r="I5" s="55"/>
      <c r="J5" s="55"/>
      <c r="K5" s="55"/>
    </row>
    <row r="6" customFormat="false" ht="31.5" hidden="false" customHeight="true" outlineLevel="0" collapsed="false">
      <c r="B6" s="56" t="s">
        <v>3</v>
      </c>
      <c r="C6" s="56" t="s">
        <v>104</v>
      </c>
      <c r="D6" s="56" t="s">
        <v>105</v>
      </c>
      <c r="E6" s="56" t="s">
        <v>106</v>
      </c>
      <c r="F6" s="56" t="s">
        <v>107</v>
      </c>
      <c r="G6" s="56" t="s">
        <v>108</v>
      </c>
      <c r="H6" s="56" t="s">
        <v>109</v>
      </c>
      <c r="I6" s="56" t="s">
        <v>110</v>
      </c>
      <c r="J6" s="56" t="s">
        <v>111</v>
      </c>
      <c r="K6" s="56" t="s">
        <v>112</v>
      </c>
    </row>
    <row r="7" customFormat="false" ht="15" hidden="false" customHeight="true" outlineLevel="0" collapsed="false">
      <c r="B7" s="6" t="s">
        <v>113</v>
      </c>
      <c r="C7" s="57" t="s">
        <v>114</v>
      </c>
      <c r="D7" s="58" t="n">
        <v>5.6</v>
      </c>
      <c r="E7" s="58" t="n">
        <v>14.4</v>
      </c>
      <c r="F7" s="59" t="n">
        <v>0.133312106547891</v>
      </c>
      <c r="G7" s="59" t="n">
        <v>0.211094736677639</v>
      </c>
      <c r="H7" s="59" t="n">
        <v>0.274785919043564</v>
      </c>
      <c r="I7" s="59" t="n">
        <v>0.339469724367585</v>
      </c>
      <c r="J7" s="59" t="n">
        <v>0.459002505249964</v>
      </c>
      <c r="K7" s="39" t="s">
        <v>115</v>
      </c>
    </row>
    <row r="8" customFormat="false" ht="15" hidden="false" customHeight="true" outlineLevel="0" collapsed="false">
      <c r="B8" s="60" t="s">
        <v>116</v>
      </c>
      <c r="C8" s="61" t="s">
        <v>117</v>
      </c>
      <c r="D8" s="62" t="n">
        <v>3.6</v>
      </c>
      <c r="E8" s="62" t="n">
        <v>26.4</v>
      </c>
      <c r="F8" s="63" t="n">
        <v>0.0423991485615756</v>
      </c>
      <c r="G8" s="63" t="n">
        <v>0.0775535633102456</v>
      </c>
      <c r="H8" s="63" t="n">
        <v>0.115609888672802</v>
      </c>
      <c r="I8" s="63" t="n">
        <v>0.15622017329913</v>
      </c>
      <c r="J8" s="63" t="n">
        <v>0.230168825857907</v>
      </c>
      <c r="K8" s="64" t="s">
        <v>118</v>
      </c>
    </row>
    <row r="9" customFormat="false" ht="15" hidden="false" customHeight="true" outlineLevel="0" collapsed="false">
      <c r="B9" s="6" t="s">
        <v>90</v>
      </c>
      <c r="C9" s="57" t="s">
        <v>119</v>
      </c>
      <c r="D9" s="65" t="n">
        <v>32000</v>
      </c>
      <c r="E9" s="65" t="n">
        <v>4000</v>
      </c>
      <c r="F9" s="38" t="n">
        <v>25277.6206998411</v>
      </c>
      <c r="G9" s="38" t="n">
        <v>29149.3334572572</v>
      </c>
      <c r="H9" s="38" t="n">
        <v>31926.1327473452</v>
      </c>
      <c r="I9" s="38" t="n">
        <v>34612.8234853279</v>
      </c>
      <c r="J9" s="38" t="n">
        <v>38979.3586404771</v>
      </c>
      <c r="K9" s="39" t="s">
        <v>120</v>
      </c>
    </row>
    <row r="10" customFormat="false" ht="15" hidden="false" customHeight="true" outlineLevel="0" collapsed="false">
      <c r="B10" s="60" t="s">
        <v>121</v>
      </c>
      <c r="C10" s="61" t="s">
        <v>122</v>
      </c>
      <c r="D10" s="62" t="n">
        <v>7</v>
      </c>
      <c r="E10" s="62" t="n">
        <v>13</v>
      </c>
      <c r="F10" s="63" t="n">
        <v>0.187310479091804</v>
      </c>
      <c r="G10" s="63" t="n">
        <v>0.277316365815185</v>
      </c>
      <c r="H10" s="63" t="n">
        <v>0.346433202868797</v>
      </c>
      <c r="I10" s="63" t="n">
        <v>0.414211424218838</v>
      </c>
      <c r="J10" s="63" t="n">
        <v>0.528047119645634</v>
      </c>
      <c r="K10" s="64" t="s">
        <v>123</v>
      </c>
    </row>
    <row r="11" customFormat="false" ht="15" hidden="false" customHeight="true" outlineLevel="0" collapsed="false">
      <c r="B11" s="6" t="s">
        <v>47</v>
      </c>
      <c r="C11" s="57" t="s">
        <v>124</v>
      </c>
      <c r="D11" s="58" t="n">
        <v>12.4</v>
      </c>
      <c r="E11" s="58" t="n">
        <v>7.6</v>
      </c>
      <c r="F11" s="59" t="n">
        <v>0.450415548692022</v>
      </c>
      <c r="G11" s="59" t="n">
        <v>0.556478317043197</v>
      </c>
      <c r="H11" s="59" t="n">
        <v>0.626156803781584</v>
      </c>
      <c r="I11" s="59" t="n">
        <v>0.700867125198391</v>
      </c>
      <c r="J11" s="59" t="n">
        <v>0.785013212447775</v>
      </c>
      <c r="K11" s="39" t="s">
        <v>125</v>
      </c>
    </row>
    <row r="12" customFormat="false" ht="15" hidden="false" customHeight="true" outlineLevel="0" collapsed="false">
      <c r="B12" s="60" t="s">
        <v>91</v>
      </c>
      <c r="C12" s="61" t="s">
        <v>126</v>
      </c>
      <c r="D12" s="62" t="n">
        <v>1.35</v>
      </c>
      <c r="E12" s="62" t="n">
        <v>0.12</v>
      </c>
      <c r="F12" s="66" t="n">
        <v>1.16741565809706</v>
      </c>
      <c r="G12" s="66" t="n">
        <v>1.27206023480811</v>
      </c>
      <c r="H12" s="66" t="n">
        <v>1.35063731544109</v>
      </c>
      <c r="I12" s="66" t="n">
        <v>1.43072534540717</v>
      </c>
      <c r="J12" s="66" t="n">
        <v>1.5602979352788</v>
      </c>
      <c r="K12" s="64" t="s">
        <v>127</v>
      </c>
    </row>
    <row r="13" customFormat="false" ht="15" hidden="false" customHeight="true" outlineLevel="0" collapsed="false">
      <c r="B13" s="6" t="s">
        <v>128</v>
      </c>
      <c r="C13" s="57" t="s">
        <v>129</v>
      </c>
      <c r="D13" s="65" t="n">
        <v>12000</v>
      </c>
      <c r="E13" s="65" t="n">
        <v>1500</v>
      </c>
      <c r="F13" s="38" t="n">
        <v>9782.17128963119</v>
      </c>
      <c r="G13" s="38" t="n">
        <v>11037.3116199186</v>
      </c>
      <c r="H13" s="38" t="n">
        <v>12007.9672068634</v>
      </c>
      <c r="I13" s="38" t="n">
        <v>13021.1814216624</v>
      </c>
      <c r="J13" s="38" t="n">
        <v>14709.4853651243</v>
      </c>
      <c r="K13" s="39" t="s">
        <v>130</v>
      </c>
    </row>
    <row r="14" customFormat="false" ht="15" hidden="false" customHeight="true" outlineLevel="0" collapsed="false">
      <c r="B14" s="67" t="s">
        <v>131</v>
      </c>
      <c r="C14" s="67" t="s">
        <v>132</v>
      </c>
      <c r="D14" s="67" t="s">
        <v>133</v>
      </c>
      <c r="E14" s="67" t="s">
        <v>133</v>
      </c>
      <c r="F14" s="68" t="n">
        <v>-0.222212847717744</v>
      </c>
      <c r="G14" s="68" t="n">
        <v>-0.0890888207528371</v>
      </c>
      <c r="H14" s="68" t="n">
        <v>0.230145881691381</v>
      </c>
      <c r="I14" s="68" t="n">
        <v>0.714431153200812</v>
      </c>
      <c r="J14" s="68" t="n">
        <v>1.9298182760492</v>
      </c>
      <c r="K14" s="67" t="s">
        <v>134</v>
      </c>
    </row>
    <row r="16" customFormat="false" ht="21.75" hidden="false" customHeight="true" outlineLevel="0" collapsed="false">
      <c r="B16" s="12" t="s">
        <v>135</v>
      </c>
      <c r="C16" s="12"/>
      <c r="D16" s="12"/>
      <c r="E16" s="12"/>
      <c r="F16" s="12"/>
      <c r="G16" s="12"/>
      <c r="H16" s="12"/>
      <c r="I16" s="12"/>
      <c r="J16" s="12"/>
      <c r="K16" s="12"/>
    </row>
    <row r="17" customFormat="false" ht="31.5" hidden="false" customHeight="true" outlineLevel="0" collapsed="false">
      <c r="B17" s="5" t="s">
        <v>136</v>
      </c>
      <c r="C17" s="5" t="s">
        <v>137</v>
      </c>
      <c r="D17" s="5" t="s">
        <v>107</v>
      </c>
      <c r="E17" s="5" t="s">
        <v>108</v>
      </c>
      <c r="F17" s="5" t="s">
        <v>109</v>
      </c>
      <c r="G17" s="5" t="s">
        <v>110</v>
      </c>
      <c r="H17" s="5" t="s">
        <v>111</v>
      </c>
      <c r="I17" s="5" t="s">
        <v>138</v>
      </c>
      <c r="J17" s="5" t="s">
        <v>60</v>
      </c>
    </row>
    <row r="18" customFormat="false" ht="15" hidden="false" customHeight="true" outlineLevel="0" collapsed="false">
      <c r="B18" s="69" t="s">
        <v>139</v>
      </c>
      <c r="C18" s="70" t="n">
        <v>0.324</v>
      </c>
      <c r="D18" s="71" t="n">
        <v>-0.222212847717744</v>
      </c>
      <c r="E18" s="71" t="n">
        <v>-0.0890888207528371</v>
      </c>
      <c r="F18" s="71" t="n">
        <v>0.230145881691381</v>
      </c>
      <c r="G18" s="71" t="n">
        <v>0.714431153200812</v>
      </c>
      <c r="H18" s="71" t="n">
        <v>1.9298182760492</v>
      </c>
      <c r="I18" s="71" t="n">
        <v>2.15203112376694</v>
      </c>
      <c r="J18" s="71" t="s">
        <v>140</v>
      </c>
      <c r="K18" s="39" t="s">
        <v>140</v>
      </c>
    </row>
    <row r="19" customFormat="false" ht="15" hidden="false" customHeight="true" outlineLevel="0" collapsed="false">
      <c r="B19" s="8" t="s">
        <v>141</v>
      </c>
      <c r="C19" s="72" t="n">
        <v>0.667</v>
      </c>
      <c r="D19" s="73"/>
      <c r="E19" s="73"/>
      <c r="F19" s="73"/>
      <c r="G19" s="73"/>
      <c r="H19" s="73"/>
      <c r="I19" s="73"/>
      <c r="K19" s="41" t="s">
        <v>142</v>
      </c>
    </row>
    <row r="20" customFormat="false" ht="15" hidden="false" customHeight="true" outlineLevel="0" collapsed="false">
      <c r="B20" s="6" t="s">
        <v>143</v>
      </c>
      <c r="C20" s="59" t="n">
        <v>0.522</v>
      </c>
      <c r="D20" s="73"/>
      <c r="E20" s="73"/>
      <c r="F20" s="73"/>
      <c r="G20" s="73"/>
      <c r="H20" s="73"/>
      <c r="I20" s="73"/>
      <c r="K20" s="39" t="s">
        <v>144</v>
      </c>
    </row>
    <row r="21" customFormat="false" ht="15" hidden="false" customHeight="true" outlineLevel="0" collapsed="false">
      <c r="B21" s="8" t="s">
        <v>145</v>
      </c>
      <c r="C21" s="72" t="n">
        <v>1.82</v>
      </c>
      <c r="D21" s="73"/>
      <c r="E21" s="73"/>
      <c r="F21" s="73"/>
      <c r="G21" s="73"/>
      <c r="H21" s="73"/>
      <c r="I21" s="73"/>
      <c r="K21" s="41" t="s">
        <v>146</v>
      </c>
    </row>
    <row r="24" customFormat="false" ht="21.75" hidden="false" customHeight="true" outlineLevel="0" collapsed="false">
      <c r="B24" s="4" t="s">
        <v>147</v>
      </c>
      <c r="C24" s="4"/>
      <c r="D24" s="4"/>
      <c r="E24" s="4"/>
    </row>
    <row r="25" customFormat="false" ht="31.5" hidden="false" customHeight="true" outlineLevel="0" collapsed="false">
      <c r="B25" s="74" t="s">
        <v>148</v>
      </c>
      <c r="C25" s="74" t="s">
        <v>149</v>
      </c>
      <c r="D25" s="74" t="s">
        <v>150</v>
      </c>
    </row>
    <row r="26" customFormat="false" ht="15" hidden="false" customHeight="true" outlineLevel="0" collapsed="false">
      <c r="B26" s="6" t="s">
        <v>151</v>
      </c>
      <c r="C26" s="65" t="n">
        <v>621</v>
      </c>
      <c r="D26" s="59" t="n">
        <v>0.621</v>
      </c>
    </row>
    <row r="27" customFormat="false" ht="15" hidden="false" customHeight="true" outlineLevel="0" collapsed="false">
      <c r="B27" s="8" t="s">
        <v>152</v>
      </c>
      <c r="C27" s="75" t="n">
        <v>235</v>
      </c>
      <c r="D27" s="72" t="n">
        <v>0.235</v>
      </c>
    </row>
    <row r="28" customFormat="false" ht="15" hidden="false" customHeight="true" outlineLevel="0" collapsed="false">
      <c r="B28" s="6" t="s">
        <v>153</v>
      </c>
      <c r="C28" s="65" t="n">
        <v>78</v>
      </c>
      <c r="D28" s="59" t="n">
        <v>0.078</v>
      </c>
    </row>
    <row r="29" customFormat="false" ht="15" hidden="false" customHeight="true" outlineLevel="0" collapsed="false">
      <c r="B29" s="8" t="s">
        <v>154</v>
      </c>
      <c r="C29" s="75" t="n">
        <v>46</v>
      </c>
      <c r="D29" s="72" t="n">
        <v>0.046</v>
      </c>
    </row>
    <row r="30" customFormat="false" ht="15" hidden="false" customHeight="true" outlineLevel="0" collapsed="false">
      <c r="B30" s="6" t="s">
        <v>155</v>
      </c>
      <c r="C30" s="65" t="n">
        <v>12</v>
      </c>
      <c r="D30" s="59" t="n">
        <v>0.012</v>
      </c>
    </row>
    <row r="31" customFormat="false" ht="15" hidden="false" customHeight="true" outlineLevel="0" collapsed="false">
      <c r="B31" s="8" t="s">
        <v>156</v>
      </c>
      <c r="C31" s="75" t="n">
        <v>4</v>
      </c>
      <c r="D31" s="72" t="n">
        <v>0.004</v>
      </c>
    </row>
    <row r="32" customFormat="false" ht="15" hidden="false" customHeight="true" outlineLevel="0" collapsed="false">
      <c r="B32" s="6" t="s">
        <v>157</v>
      </c>
      <c r="C32" s="65" t="n">
        <v>2</v>
      </c>
      <c r="D32" s="59" t="n">
        <v>0.002</v>
      </c>
    </row>
    <row r="33" customFormat="false" ht="15" hidden="false" customHeight="true" outlineLevel="0" collapsed="false">
      <c r="B33" s="8" t="s">
        <v>158</v>
      </c>
      <c r="C33" s="75" t="n">
        <v>0</v>
      </c>
      <c r="D33" s="72" t="n">
        <v>0</v>
      </c>
    </row>
    <row r="34" customFormat="false" ht="15" hidden="false" customHeight="true" outlineLevel="0" collapsed="false">
      <c r="B34" s="6" t="s">
        <v>159</v>
      </c>
      <c r="C34" s="65" t="n">
        <v>0</v>
      </c>
      <c r="D34" s="59" t="n">
        <v>0</v>
      </c>
    </row>
    <row r="35" customFormat="false" ht="15" hidden="false" customHeight="true" outlineLevel="0" collapsed="false">
      <c r="B35" s="8" t="s">
        <v>160</v>
      </c>
      <c r="C35" s="75" t="n">
        <v>0</v>
      </c>
      <c r="D35" s="72" t="n">
        <v>0</v>
      </c>
    </row>
    <row r="36" customFormat="false" ht="15" hidden="false" customHeight="true" outlineLevel="0" collapsed="false">
      <c r="B36" s="6" t="s">
        <v>161</v>
      </c>
      <c r="C36" s="65" t="n">
        <v>1</v>
      </c>
      <c r="D36" s="59" t="n">
        <v>0.001</v>
      </c>
    </row>
    <row r="37" customFormat="false" ht="15" hidden="false" customHeight="true" outlineLevel="0" collapsed="false">
      <c r="B37" s="8" t="s">
        <v>162</v>
      </c>
      <c r="C37" s="75" t="n">
        <v>0</v>
      </c>
      <c r="D37" s="72" t="n">
        <v>0</v>
      </c>
    </row>
  </sheetData>
  <mergeCells count="5">
    <mergeCell ref="B2:K2"/>
    <mergeCell ref="B3:K3"/>
    <mergeCell ref="B5:K5"/>
    <mergeCell ref="B16:K16"/>
    <mergeCell ref="B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10"/>
    <col collapsed="false" customWidth="true" hidden="false" outlineLevel="0" max="4" min="4" style="1" width="15"/>
    <col collapsed="false" customWidth="true" hidden="false" outlineLevel="0" max="7" min="5" style="1" width="14"/>
    <col collapsed="false" customWidth="true" hidden="false" outlineLevel="0" max="8" min="8" style="1" width="22"/>
  </cols>
  <sheetData>
    <row r="1" customFormat="false" ht="9.75" hidden="false" customHeight="true" outlineLevel="0" collapsed="false"/>
    <row r="2" customFormat="false" ht="30" hidden="false" customHeight="true" outlineLevel="0" collapsed="false">
      <c r="B2" s="2" t="s">
        <v>163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76" t="s">
        <v>164</v>
      </c>
      <c r="C3" s="76"/>
      <c r="D3" s="76"/>
      <c r="E3" s="76"/>
      <c r="F3" s="76"/>
      <c r="G3" s="76"/>
      <c r="H3" s="76"/>
    </row>
    <row r="5" customFormat="false" ht="21.75" hidden="false" customHeight="true" outlineLevel="0" collapsed="false">
      <c r="B5" s="12" t="s">
        <v>165</v>
      </c>
      <c r="C5" s="12"/>
      <c r="D5" s="12"/>
      <c r="E5" s="12"/>
      <c r="F5" s="12"/>
      <c r="G5" s="12"/>
      <c r="H5" s="12"/>
    </row>
    <row r="6" customFormat="false" ht="31.5" hidden="false" customHeight="true" outlineLevel="0" collapsed="false">
      <c r="B6" s="5" t="s">
        <v>166</v>
      </c>
      <c r="C6" s="5" t="s">
        <v>167</v>
      </c>
      <c r="D6" s="5" t="s">
        <v>168</v>
      </c>
      <c r="E6" s="5" t="s">
        <v>169</v>
      </c>
      <c r="F6" s="5" t="s">
        <v>170</v>
      </c>
      <c r="G6" s="5" t="s">
        <v>171</v>
      </c>
    </row>
    <row r="7" customFormat="false" ht="15" hidden="false" customHeight="true" outlineLevel="0" collapsed="false">
      <c r="B7" s="6" t="s">
        <v>172</v>
      </c>
      <c r="C7" s="77" t="s">
        <v>173</v>
      </c>
      <c r="D7" s="57" t="s">
        <v>174</v>
      </c>
      <c r="E7" s="78" t="n">
        <v>0.24</v>
      </c>
      <c r="F7" s="54" t="n">
        <v>-0.115</v>
      </c>
      <c r="G7" s="79" t="s">
        <v>175</v>
      </c>
    </row>
    <row r="8" customFormat="false" ht="15" hidden="false" customHeight="true" outlineLevel="0" collapsed="false">
      <c r="B8" s="49" t="s">
        <v>176</v>
      </c>
      <c r="C8" s="77" t="s">
        <v>173</v>
      </c>
      <c r="D8" s="80" t="s">
        <v>174</v>
      </c>
      <c r="E8" s="81" t="n">
        <v>0.18</v>
      </c>
      <c r="F8" s="82" t="n">
        <v>-0.082</v>
      </c>
      <c r="G8" s="83" t="s">
        <v>177</v>
      </c>
    </row>
    <row r="9" customFormat="false" ht="15" hidden="false" customHeight="true" outlineLevel="0" collapsed="false">
      <c r="B9" s="6" t="s">
        <v>178</v>
      </c>
      <c r="C9" s="77" t="s">
        <v>173</v>
      </c>
      <c r="D9" s="57" t="s">
        <v>179</v>
      </c>
      <c r="E9" s="78" t="n">
        <v>0.15</v>
      </c>
      <c r="F9" s="54" t="n">
        <v>-0.068</v>
      </c>
      <c r="G9" s="84" t="s">
        <v>180</v>
      </c>
    </row>
    <row r="10" customFormat="false" ht="15" hidden="false" customHeight="true" outlineLevel="0" collapsed="false">
      <c r="B10" s="49" t="s">
        <v>181</v>
      </c>
      <c r="C10" s="77" t="s">
        <v>173</v>
      </c>
      <c r="D10" s="80" t="s">
        <v>182</v>
      </c>
      <c r="E10" s="81" t="n">
        <v>0.12</v>
      </c>
      <c r="F10" s="82" t="n">
        <v>-0.054</v>
      </c>
      <c r="G10" s="84" t="s">
        <v>180</v>
      </c>
    </row>
    <row r="11" customFormat="false" ht="15" hidden="false" customHeight="true" outlineLevel="0" collapsed="false">
      <c r="B11" s="6" t="s">
        <v>183</v>
      </c>
      <c r="C11" s="77" t="s">
        <v>173</v>
      </c>
      <c r="D11" s="57" t="s">
        <v>184</v>
      </c>
      <c r="E11" s="78" t="n">
        <v>0.1</v>
      </c>
      <c r="F11" s="54" t="n">
        <v>-0.046</v>
      </c>
      <c r="G11" s="84" t="s">
        <v>180</v>
      </c>
    </row>
    <row r="12" customFormat="false" ht="15" hidden="false" customHeight="true" outlineLevel="0" collapsed="false">
      <c r="B12" s="49" t="s">
        <v>185</v>
      </c>
      <c r="C12" s="77" t="s">
        <v>186</v>
      </c>
      <c r="D12" s="80" t="s">
        <v>187</v>
      </c>
      <c r="E12" s="81" t="n">
        <v>0.07</v>
      </c>
      <c r="F12" s="82" t="n">
        <v>-0.031</v>
      </c>
      <c r="G12" s="85" t="s">
        <v>188</v>
      </c>
    </row>
    <row r="13" customFormat="false" ht="15" hidden="false" customHeight="true" outlineLevel="0" collapsed="false">
      <c r="B13" s="6" t="s">
        <v>189</v>
      </c>
      <c r="C13" s="77" t="s">
        <v>186</v>
      </c>
      <c r="D13" s="57" t="s">
        <v>179</v>
      </c>
      <c r="E13" s="78" t="n">
        <v>0.08</v>
      </c>
      <c r="F13" s="54" t="n">
        <v>-0.038</v>
      </c>
      <c r="G13" s="85" t="s">
        <v>188</v>
      </c>
    </row>
    <row r="14" customFormat="false" ht="15" hidden="false" customHeight="true" outlineLevel="0" collapsed="false">
      <c r="B14" s="49" t="s">
        <v>190</v>
      </c>
      <c r="C14" s="77" t="s">
        <v>186</v>
      </c>
      <c r="D14" s="80" t="s">
        <v>179</v>
      </c>
      <c r="E14" s="81" t="n">
        <v>0.06</v>
      </c>
      <c r="F14" s="82" t="n">
        <v>-0.028</v>
      </c>
      <c r="G14" s="86" t="s">
        <v>191</v>
      </c>
    </row>
    <row r="17" customFormat="false" ht="21.75" hidden="false" customHeight="true" outlineLevel="0" collapsed="false">
      <c r="B17" s="17" t="s">
        <v>192</v>
      </c>
      <c r="C17" s="17"/>
      <c r="D17" s="17"/>
      <c r="E17" s="17"/>
      <c r="F17" s="17"/>
      <c r="G17" s="17"/>
      <c r="H17" s="17"/>
    </row>
    <row r="18" customFormat="false" ht="31.5" hidden="false" customHeight="true" outlineLevel="0" collapsed="false">
      <c r="B18" s="18" t="s">
        <v>193</v>
      </c>
      <c r="C18" s="18" t="s">
        <v>174</v>
      </c>
      <c r="D18" s="18" t="s">
        <v>179</v>
      </c>
      <c r="E18" s="18" t="s">
        <v>194</v>
      </c>
      <c r="F18" s="18" t="s">
        <v>195</v>
      </c>
    </row>
    <row r="19" customFormat="false" ht="15" hidden="false" customHeight="true" outlineLevel="0" collapsed="false">
      <c r="B19" s="87" t="s">
        <v>196</v>
      </c>
      <c r="C19" s="88" t="s">
        <v>197</v>
      </c>
      <c r="D19" s="88" t="s">
        <v>198</v>
      </c>
      <c r="E19" s="88" t="s">
        <v>199</v>
      </c>
      <c r="F19" s="88" t="s">
        <v>200</v>
      </c>
    </row>
    <row r="20" customFormat="false" ht="15" hidden="false" customHeight="true" outlineLevel="0" collapsed="false">
      <c r="B20" s="89" t="s">
        <v>201</v>
      </c>
      <c r="C20" s="90" t="s">
        <v>202</v>
      </c>
      <c r="D20" s="91" t="s">
        <v>203</v>
      </c>
      <c r="E20" s="91" t="s">
        <v>203</v>
      </c>
      <c r="F20" s="92" t="s">
        <v>204</v>
      </c>
    </row>
    <row r="21" customFormat="false" ht="15" hidden="false" customHeight="true" outlineLevel="0" collapsed="false">
      <c r="B21" s="87" t="s">
        <v>205</v>
      </c>
      <c r="C21" s="91" t="s">
        <v>203</v>
      </c>
      <c r="D21" s="90" t="s">
        <v>206</v>
      </c>
      <c r="E21" s="90" t="s">
        <v>207</v>
      </c>
      <c r="F21" s="88" t="s">
        <v>179</v>
      </c>
    </row>
    <row r="22" customFormat="false" ht="15" hidden="false" customHeight="true" outlineLevel="0" collapsed="false">
      <c r="B22" s="89" t="s">
        <v>208</v>
      </c>
      <c r="C22" s="92" t="s">
        <v>209</v>
      </c>
      <c r="D22" s="92" t="s">
        <v>210</v>
      </c>
      <c r="E22" s="92" t="s">
        <v>211</v>
      </c>
      <c r="F22" s="92" t="s">
        <v>212</v>
      </c>
    </row>
    <row r="23" customFormat="false" ht="15" hidden="false" customHeight="true" outlineLevel="0" collapsed="false">
      <c r="B23" s="87" t="s">
        <v>213</v>
      </c>
      <c r="C23" s="90" t="s">
        <v>214</v>
      </c>
      <c r="D23" s="90" t="s">
        <v>214</v>
      </c>
      <c r="E23" s="91" t="s">
        <v>215</v>
      </c>
      <c r="F23" s="88" t="s">
        <v>216</v>
      </c>
    </row>
    <row r="26" customFormat="false" ht="21.75" hidden="false" customHeight="true" outlineLevel="0" collapsed="false">
      <c r="B26" s="4" t="s">
        <v>217</v>
      </c>
      <c r="C26" s="4"/>
      <c r="D26" s="4"/>
      <c r="E26" s="4"/>
      <c r="F26" s="4"/>
      <c r="G26" s="4"/>
      <c r="H26" s="4"/>
    </row>
    <row r="27" customFormat="false" ht="31.5" hidden="false" customHeight="true" outlineLevel="0" collapsed="false">
      <c r="B27" s="74" t="s">
        <v>218</v>
      </c>
      <c r="C27" s="74" t="s">
        <v>219</v>
      </c>
      <c r="D27" s="74" t="s">
        <v>139</v>
      </c>
      <c r="E27" s="74" t="s">
        <v>220</v>
      </c>
      <c r="F27" s="74" t="s">
        <v>221</v>
      </c>
      <c r="G27" s="74" t="s">
        <v>222</v>
      </c>
    </row>
    <row r="28" customFormat="false" ht="15" hidden="false" customHeight="true" outlineLevel="0" collapsed="false">
      <c r="B28" s="93" t="s">
        <v>223</v>
      </c>
      <c r="C28" s="94" t="s">
        <v>224</v>
      </c>
      <c r="D28" s="95" t="n">
        <v>0.324</v>
      </c>
      <c r="E28" s="95" t="n">
        <v>0</v>
      </c>
      <c r="F28" s="94" t="s">
        <v>175</v>
      </c>
      <c r="G28" s="94" t="s">
        <v>225</v>
      </c>
    </row>
    <row r="29" customFormat="false" ht="15" hidden="false" customHeight="true" outlineLevel="0" collapsed="false">
      <c r="B29" s="96" t="s">
        <v>226</v>
      </c>
      <c r="C29" s="97" t="s">
        <v>227</v>
      </c>
      <c r="D29" s="98" t="n">
        <v>0.286</v>
      </c>
      <c r="E29" s="99" t="n">
        <v>-0.038</v>
      </c>
      <c r="F29" s="97" t="s">
        <v>177</v>
      </c>
      <c r="G29" s="97" t="s">
        <v>228</v>
      </c>
    </row>
    <row r="30" customFormat="false" ht="15" hidden="false" customHeight="true" outlineLevel="0" collapsed="false">
      <c r="B30" s="87" t="s">
        <v>229</v>
      </c>
      <c r="C30" s="88" t="s">
        <v>230</v>
      </c>
      <c r="D30" s="100" t="n">
        <v>0.238</v>
      </c>
      <c r="E30" s="101" t="n">
        <v>-0.086</v>
      </c>
      <c r="F30" s="88" t="s">
        <v>180</v>
      </c>
      <c r="G30" s="88" t="s">
        <v>231</v>
      </c>
    </row>
    <row r="31" customFormat="false" ht="15" hidden="false" customHeight="true" outlineLevel="0" collapsed="false">
      <c r="B31" s="96" t="s">
        <v>232</v>
      </c>
      <c r="C31" s="97" t="s">
        <v>233</v>
      </c>
      <c r="D31" s="98" t="n">
        <v>0.192</v>
      </c>
      <c r="E31" s="99" t="n">
        <v>-0.132</v>
      </c>
      <c r="F31" s="97" t="s">
        <v>180</v>
      </c>
      <c r="G31" s="97" t="s">
        <v>234</v>
      </c>
    </row>
    <row r="32" customFormat="false" ht="15" hidden="false" customHeight="true" outlineLevel="0" collapsed="false">
      <c r="B32" s="87" t="s">
        <v>235</v>
      </c>
      <c r="C32" s="88" t="s">
        <v>236</v>
      </c>
      <c r="D32" s="100" t="n">
        <v>0.081</v>
      </c>
      <c r="E32" s="101" t="n">
        <v>-0.243</v>
      </c>
      <c r="F32" s="88" t="s">
        <v>188</v>
      </c>
      <c r="G32" s="88" t="s">
        <v>237</v>
      </c>
    </row>
  </sheetData>
  <mergeCells count="5">
    <mergeCell ref="B2:H2"/>
    <mergeCell ref="B3:H3"/>
    <mergeCell ref="B5:H5"/>
    <mergeCell ref="B17:H17"/>
    <mergeCell ref="B26:H26"/>
  </mergeCells>
  <dataValidations count="1">
    <dataValidation allowBlank="false" errorStyle="stop" operator="between" prompt="ON = includi nel BIA · OFF = escludi" promptTitle="Switch Componente" showDropDown="false" showErrorMessage="false" showInputMessage="false" sqref="C7:C14" type="list">
      <formula1>"ON,OFF"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8" min="4" style="1" width="13"/>
    <col collapsed="false" customWidth="true" hidden="false" outlineLevel="0" max="9" min="9" style="1" width="22"/>
  </cols>
  <sheetData>
    <row r="1" customFormat="false" ht="9.75" hidden="false" customHeight="true" outlineLevel="0" collapsed="false"/>
    <row r="2" customFormat="false" ht="36" hidden="false" customHeight="true" outlineLevel="0" collapsed="false">
      <c r="B2" s="102" t="s">
        <v>238</v>
      </c>
      <c r="C2" s="102"/>
      <c r="D2" s="102"/>
      <c r="E2" s="102"/>
      <c r="F2" s="102"/>
      <c r="G2" s="102"/>
      <c r="H2" s="102"/>
      <c r="I2" s="102"/>
    </row>
    <row r="3" customFormat="false" ht="15" hidden="false" customHeight="true" outlineLevel="0" collapsed="false">
      <c r="B3" s="103" t="s">
        <v>239</v>
      </c>
      <c r="C3" s="103"/>
      <c r="D3" s="103"/>
      <c r="E3" s="103"/>
      <c r="F3" s="103"/>
      <c r="G3" s="103"/>
      <c r="H3" s="103"/>
      <c r="I3" s="103"/>
    </row>
    <row r="5" customFormat="false" ht="15" hidden="false" customHeight="true" outlineLevel="0" collapsed="false">
      <c r="B5" s="104" t="s">
        <v>240</v>
      </c>
      <c r="C5" s="104"/>
      <c r="D5" s="105" t="s">
        <v>241</v>
      </c>
      <c r="E5" s="105"/>
      <c r="F5" s="106" t="s">
        <v>242</v>
      </c>
      <c r="G5" s="106"/>
      <c r="H5" s="107" t="s">
        <v>243</v>
      </c>
      <c r="I5" s="107"/>
    </row>
    <row r="6" customFormat="false" ht="36" hidden="false" customHeight="true" outlineLevel="0" collapsed="false">
      <c r="B6" s="108" t="s">
        <v>244</v>
      </c>
      <c r="C6" s="108"/>
      <c r="D6" s="109" t="s">
        <v>245</v>
      </c>
      <c r="E6" s="109"/>
      <c r="F6" s="110" t="s">
        <v>246</v>
      </c>
      <c r="G6" s="110"/>
      <c r="H6" s="111" t="s">
        <v>247</v>
      </c>
      <c r="I6" s="111"/>
    </row>
    <row r="7" customFormat="false" ht="15" hidden="false" customHeight="true" outlineLevel="0" collapsed="false">
      <c r="B7" s="112" t="s">
        <v>248</v>
      </c>
      <c r="C7" s="112"/>
      <c r="D7" s="113" t="s">
        <v>249</v>
      </c>
      <c r="E7" s="113"/>
      <c r="F7" s="114" t="s">
        <v>250</v>
      </c>
      <c r="G7" s="114"/>
      <c r="H7" s="115" t="s">
        <v>251</v>
      </c>
      <c r="I7" s="115"/>
    </row>
    <row r="8" customFormat="false" ht="4.5" hidden="false" customHeight="true" outlineLevel="0" collapsed="false">
      <c r="B8" s="116"/>
      <c r="C8" s="116"/>
      <c r="D8" s="117"/>
      <c r="E8" s="117"/>
      <c r="F8" s="118"/>
      <c r="G8" s="118"/>
      <c r="H8" s="119"/>
      <c r="I8" s="119"/>
    </row>
    <row r="9" customFormat="false" ht="15" hidden="false" customHeight="true" outlineLevel="0" collapsed="false">
      <c r="B9" s="120" t="s">
        <v>252</v>
      </c>
      <c r="C9" s="120"/>
      <c r="D9" s="121" t="s">
        <v>253</v>
      </c>
      <c r="E9" s="121"/>
      <c r="F9" s="122" t="s">
        <v>254</v>
      </c>
      <c r="G9" s="122"/>
      <c r="H9" s="122"/>
      <c r="I9" s="122"/>
    </row>
    <row r="11" customFormat="false" ht="21.75" hidden="false" customHeight="true" outlineLevel="0" collapsed="false">
      <c r="B11" s="12" t="s">
        <v>255</v>
      </c>
      <c r="C11" s="12"/>
      <c r="D11" s="12"/>
      <c r="E11" s="12"/>
      <c r="F11" s="12"/>
      <c r="G11" s="12"/>
      <c r="H11" s="12"/>
      <c r="I11" s="12"/>
    </row>
    <row r="12" customFormat="false" ht="31.5" hidden="false" customHeight="true" outlineLevel="0" collapsed="false">
      <c r="B12" s="5" t="s">
        <v>256</v>
      </c>
      <c r="C12" s="5" t="s">
        <v>139</v>
      </c>
      <c r="D12" s="5" t="s">
        <v>257</v>
      </c>
      <c r="E12" s="5" t="s">
        <v>258</v>
      </c>
      <c r="F12" s="5" t="s">
        <v>259</v>
      </c>
      <c r="G12" s="5" t="s">
        <v>260</v>
      </c>
      <c r="H12" s="5" t="s">
        <v>261</v>
      </c>
      <c r="I12" s="5" t="s">
        <v>222</v>
      </c>
    </row>
    <row r="13" customFormat="false" ht="15" hidden="false" customHeight="true" outlineLevel="0" collapsed="false">
      <c r="B13" s="123" t="s">
        <v>262</v>
      </c>
      <c r="C13" s="124" t="n">
        <v>0.324</v>
      </c>
      <c r="D13" s="125" t="n">
        <v>1.82</v>
      </c>
      <c r="E13" s="125" t="n">
        <v>11.2</v>
      </c>
      <c r="F13" s="125" t="n">
        <v>3.8</v>
      </c>
      <c r="G13" s="125" t="n">
        <v>16.82</v>
      </c>
      <c r="H13" s="126" t="s">
        <v>263</v>
      </c>
      <c r="I13" s="126" t="s">
        <v>264</v>
      </c>
    </row>
    <row r="14" customFormat="false" ht="15" hidden="false" customHeight="true" outlineLevel="0" collapsed="false">
      <c r="B14" s="96" t="s">
        <v>265</v>
      </c>
      <c r="C14" s="98" t="n">
        <v>1.9298182760492</v>
      </c>
      <c r="D14" s="127" t="n">
        <v>2.44</v>
      </c>
      <c r="E14" s="127" t="n">
        <v>11.2</v>
      </c>
      <c r="F14" s="127" t="n">
        <v>5.1</v>
      </c>
      <c r="G14" s="127" t="n">
        <v>18.74</v>
      </c>
      <c r="H14" s="97" t="s">
        <v>266</v>
      </c>
      <c r="I14" s="97" t="s">
        <v>267</v>
      </c>
    </row>
    <row r="15" customFormat="false" ht="15" hidden="false" customHeight="true" outlineLevel="0" collapsed="false">
      <c r="B15" s="87" t="s">
        <v>268</v>
      </c>
      <c r="C15" s="100" t="n">
        <v>-0.222212847717744</v>
      </c>
      <c r="D15" s="128" t="n">
        <v>0.89</v>
      </c>
      <c r="E15" s="128" t="n">
        <v>11.2</v>
      </c>
      <c r="F15" s="128" t="n">
        <v>2.1</v>
      </c>
      <c r="G15" s="128" t="n">
        <v>14.19</v>
      </c>
      <c r="H15" s="88" t="s">
        <v>266</v>
      </c>
      <c r="I15" s="88" t="s">
        <v>269</v>
      </c>
    </row>
    <row r="16" customFormat="false" ht="15" hidden="false" customHeight="true" outlineLevel="0" collapsed="false">
      <c r="B16" s="96" t="s">
        <v>270</v>
      </c>
      <c r="C16" s="98" t="n">
        <v>0.286</v>
      </c>
      <c r="D16" s="127" t="n">
        <v>1.61</v>
      </c>
      <c r="E16" s="127" t="n">
        <v>11.2</v>
      </c>
      <c r="F16" s="127" t="n">
        <v>3.2</v>
      </c>
      <c r="G16" s="127" t="n">
        <v>16.01</v>
      </c>
      <c r="H16" s="97" t="s">
        <v>271</v>
      </c>
      <c r="I16" s="97" t="s">
        <v>272</v>
      </c>
    </row>
    <row r="17" customFormat="false" ht="15" hidden="false" customHeight="true" outlineLevel="0" collapsed="false">
      <c r="B17" s="87" t="s">
        <v>273</v>
      </c>
      <c r="C17" s="100" t="n">
        <v>0.238</v>
      </c>
      <c r="D17" s="128" t="n">
        <v>1.31</v>
      </c>
      <c r="E17" s="128" t="n">
        <v>11.2</v>
      </c>
      <c r="F17" s="128" t="n">
        <v>2.6</v>
      </c>
      <c r="G17" s="128" t="n">
        <v>15.11</v>
      </c>
      <c r="H17" s="88" t="s">
        <v>274</v>
      </c>
      <c r="I17" s="88" t="s">
        <v>231</v>
      </c>
    </row>
    <row r="18" customFormat="false" ht="15" hidden="false" customHeight="true" outlineLevel="0" collapsed="false">
      <c r="B18" s="96" t="s">
        <v>275</v>
      </c>
      <c r="C18" s="98" t="n">
        <v>0.081</v>
      </c>
      <c r="D18" s="127" t="n">
        <v>0.45</v>
      </c>
      <c r="E18" s="127" t="n">
        <v>11.2</v>
      </c>
      <c r="F18" s="127" t="n">
        <v>0</v>
      </c>
      <c r="G18" s="127" t="n">
        <v>11.65</v>
      </c>
      <c r="H18" s="97" t="s">
        <v>276</v>
      </c>
      <c r="I18" s="97" t="s">
        <v>237</v>
      </c>
    </row>
    <row r="21" customFormat="false" ht="21.75" hidden="false" customHeight="true" outlineLevel="0" collapsed="false">
      <c r="B21" s="4" t="s">
        <v>277</v>
      </c>
      <c r="C21" s="4"/>
      <c r="D21" s="4"/>
      <c r="E21" s="4"/>
      <c r="F21" s="4"/>
      <c r="G21" s="4"/>
      <c r="H21" s="4"/>
      <c r="I21" s="4"/>
    </row>
    <row r="22" customFormat="false" ht="31.5" hidden="false" customHeight="true" outlineLevel="0" collapsed="false">
      <c r="B22" s="74" t="s">
        <v>278</v>
      </c>
      <c r="C22" s="74" t="s">
        <v>58</v>
      </c>
      <c r="D22" s="74" t="s">
        <v>279</v>
      </c>
      <c r="E22" s="74" t="s">
        <v>280</v>
      </c>
      <c r="F22" s="74" t="s">
        <v>60</v>
      </c>
    </row>
    <row r="23" customFormat="false" ht="15" hidden="false" customHeight="true" outlineLevel="0" collapsed="false">
      <c r="B23" s="6" t="s">
        <v>281</v>
      </c>
      <c r="C23" s="129" t="s">
        <v>244</v>
      </c>
      <c r="D23" s="21" t="s">
        <v>282</v>
      </c>
      <c r="E23" s="130" t="s">
        <v>283</v>
      </c>
      <c r="F23" s="39" t="s">
        <v>284</v>
      </c>
      <c r="G23" s="39"/>
      <c r="H23" s="39"/>
      <c r="I23" s="39"/>
    </row>
    <row r="24" customFormat="false" ht="15" hidden="false" customHeight="true" outlineLevel="0" collapsed="false">
      <c r="B24" s="8" t="s">
        <v>285</v>
      </c>
      <c r="C24" s="129" t="s">
        <v>286</v>
      </c>
      <c r="D24" s="131" t="s">
        <v>287</v>
      </c>
      <c r="E24" s="132" t="s">
        <v>288</v>
      </c>
      <c r="F24" s="41" t="s">
        <v>289</v>
      </c>
      <c r="G24" s="41"/>
      <c r="H24" s="41"/>
      <c r="I24" s="41"/>
    </row>
    <row r="25" customFormat="false" ht="15" hidden="false" customHeight="true" outlineLevel="0" collapsed="false">
      <c r="B25" s="6" t="s">
        <v>290</v>
      </c>
      <c r="C25" s="129" t="s">
        <v>291</v>
      </c>
      <c r="D25" s="21" t="s">
        <v>292</v>
      </c>
      <c r="E25" s="132" t="s">
        <v>293</v>
      </c>
      <c r="F25" s="39" t="s">
        <v>294</v>
      </c>
      <c r="G25" s="39"/>
      <c r="H25" s="39"/>
      <c r="I25" s="39"/>
    </row>
    <row r="26" customFormat="false" ht="15" hidden="false" customHeight="true" outlineLevel="0" collapsed="false">
      <c r="B26" s="8" t="s">
        <v>295</v>
      </c>
      <c r="C26" s="129" t="s">
        <v>296</v>
      </c>
      <c r="D26" s="131" t="s">
        <v>297</v>
      </c>
      <c r="E26" s="132" t="s">
        <v>298</v>
      </c>
      <c r="F26" s="41" t="s">
        <v>299</v>
      </c>
      <c r="G26" s="41"/>
      <c r="H26" s="41"/>
      <c r="I26" s="41"/>
    </row>
    <row r="27" customFormat="false" ht="15" hidden="false" customHeight="true" outlineLevel="0" collapsed="false">
      <c r="B27" s="6" t="s">
        <v>300</v>
      </c>
      <c r="C27" s="129" t="s">
        <v>89</v>
      </c>
      <c r="D27" s="21" t="s">
        <v>216</v>
      </c>
      <c r="E27" s="132" t="s">
        <v>301</v>
      </c>
      <c r="F27" s="39" t="s">
        <v>302</v>
      </c>
      <c r="G27" s="39"/>
      <c r="H27" s="39"/>
      <c r="I27" s="39"/>
    </row>
    <row r="29" customFormat="false" ht="30" hidden="false" customHeight="true" outlineLevel="0" collapsed="false">
      <c r="B29" s="133" t="s">
        <v>303</v>
      </c>
      <c r="C29" s="133"/>
      <c r="D29" s="133"/>
      <c r="E29" s="133"/>
      <c r="F29" s="133"/>
      <c r="G29" s="133"/>
      <c r="H29" s="133"/>
      <c r="I29" s="133"/>
    </row>
  </sheetData>
  <mergeCells count="29">
    <mergeCell ref="B2:I2"/>
    <mergeCell ref="B3:I3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I9"/>
    <mergeCell ref="B11:I11"/>
    <mergeCell ref="B21:I21"/>
    <mergeCell ref="F23:I23"/>
    <mergeCell ref="F24:I24"/>
    <mergeCell ref="F25:I25"/>
    <mergeCell ref="F26:I26"/>
    <mergeCell ref="F27:I27"/>
    <mergeCell ref="B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2026-06-27T00:32:06Z</dcterms:created>
  <dc:creator>openpyxl</dc:creator>
  <dc:description/>
  <dc:language>en-US</dc:language>
  <cp:lastModifiedBy/>
  <dcterms:modified xsi:type="dcterms:W3CDTF">2026-06-27T00:32:30Z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