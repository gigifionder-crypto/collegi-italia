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truzioni" sheetId="1" state="visible" r:id="rId3"/>
    <sheet name="Dati_BIA" sheetId="2" state="visible" r:id="rId4"/>
    <sheet name="Calcoli" sheetId="3" state="visible" r:id="rId5"/>
    <sheet name="Tornado_Char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<sst xmlns="http://schemas.openxmlformats.org/spreadsheetml/2006/main" count="158" uniqueCount="143">
  <si>
    <t xml:space="preserve">GUIDA OPERATIVA — Tornado Diagram BIA</t>
  </si>
  <si>
    <t xml:space="preserve">📁  STRUTTURA DEL FILE — 4 Fogli</t>
  </si>
  <si>
    <t xml:space="preserve">1</t>
  </si>
  <si>
    <t xml:space="preserve">Dati_BIA</t>
  </si>
  <si>
    <t xml:space="preserve">Foglio di INPUT. Inserisci qui tutti i dati: parametri scenario, variabili di rischio, valori Min/Nominale/Max e note. Le colonne G, H, I si calcolano automaticamente.</t>
  </si>
  <si>
    <t xml:space="preserve">2</t>
  </si>
  <si>
    <t xml:space="preserve">Calcoli</t>
  </si>
  <si>
    <t xml:space="preserve">Foglio di ELABORAZIONE (sola lettura). Ordina automaticamente le variabili per ampiezza di variazione usando LARGE(). Non modificare questo foglio.</t>
  </si>
  <si>
    <t xml:space="preserve">3</t>
  </si>
  <si>
    <t xml:space="preserve">Tornado_Chart</t>
  </si>
  <si>
    <t xml:space="preserve">Foglio del GRAFICO. Visualizza il Tornado Diagram aggiornato automaticamente. Il grafico a barre speculari mostra Low (rosso) e High (teal) rispetto alla baseline.</t>
  </si>
  <si>
    <t xml:space="preserve">4</t>
  </si>
  <si>
    <t xml:space="preserve">Istruzioni</t>
  </si>
  <si>
    <t xml:space="preserve">Questo foglio. Guida operativa completa per l'utilizzo e l'aggiornamento del modello.</t>
  </si>
  <si>
    <t xml:space="preserve">✏️  COME AGGIORNARE I DATI — Nuova Simulazione di Rischio</t>
  </si>
  <si>
    <t xml:space="preserve">A</t>
  </si>
  <si>
    <t xml:space="preserve">Vai al foglio Dati_BIA</t>
  </si>
  <si>
    <t xml:space="preserve">Seleziona il tab 'Dati_BIA' in basso. È l'unico foglio dove inserire dati manualmente.</t>
  </si>
  <si>
    <t xml:space="preserve">B</t>
  </si>
  <si>
    <t xml:space="preserve">Aggiorna i Parametri Generali (righe 6–10)</t>
  </si>
  <si>
    <t xml:space="preserve">Modifica: descrizione scenario, data, responsabile, valuta, periodo. Questi campi sono descrittivi e non influenzano i calcoli numerici.</t>
  </si>
  <si>
    <t xml:space="preserve">C</t>
  </si>
  <si>
    <t xml:space="preserve">Modifica i valori Minimi (colonna D)</t>
  </si>
  <si>
    <t xml:space="preserve">Inserisci il valore più pessimistico per ogni variabile (worst-case / scenario Low). Per valori monetari usa l'importo in €. Per percentuali usa il numero diretto (es. 3.5 = 3,5%).</t>
  </si>
  <si>
    <t xml:space="preserve">D</t>
  </si>
  <si>
    <t xml:space="preserve">Modifica i Valori Nominali — Baseline (colonna E)</t>
  </si>
  <si>
    <t xml:space="preserve">Inserisci la stima più probabile / valore atteso. ATTENZIONE: questa colonna definisce la baseline. Tutti gli impatti (G, H) si calcolano come deviazione da questo valore.</t>
  </si>
  <si>
    <t xml:space="preserve">E</t>
  </si>
  <si>
    <t xml:space="preserve">Modifica i Valori Massimi (colonna F)</t>
  </si>
  <si>
    <t xml:space="preserve">Inserisci il valore più ottimistico / best-case (scenario High). Deve essere ≥ del valore nominale per le grandezze di costo/perdita.</t>
  </si>
  <si>
    <t xml:space="preserve">F</t>
  </si>
  <si>
    <t xml:space="preserve">Verifica le colonne G, H, I</t>
  </si>
  <si>
    <t xml:space="preserve">Le colonne G (Impatto Min), H (Impatto Max) e I (Ampiezza) si aggiornano automaticamente via formula. Non inserire valori manuali qui — si sovrascriverebbero le formule.</t>
  </si>
  <si>
    <t xml:space="preserve">G</t>
  </si>
  <si>
    <t xml:space="preserve">Aggiungi nuove variabili (se necessario)</t>
  </si>
  <si>
    <t xml:space="preserve">Inserisci nuove righe PRIMA della riga dei totali (riga 26). Copia il formato di una riga esistente. Aggiorna il range nelle formule LARGE() nel foglio Calcoli se superi 12 variabili (es. cambia $I$14:$I$25 in $I$14:$I$27).</t>
  </si>
  <si>
    <t xml:space="preserve">H</t>
  </si>
  <si>
    <t xml:space="preserve">Visualizza il risultato</t>
  </si>
  <si>
    <t xml:space="preserve">Vai al foglio 'Tornado_Chart'. Il grafico si aggiorna in automatico. Se Excel non ricalcola, premi F9 (Windows) o ⌘+= (Mac) per forzare il ricalcolo.</t>
  </si>
  <si>
    <t xml:space="preserve">🔄  NUOVA SIMULAZIONE — Salva e Confronta Scenari</t>
  </si>
  <si>
    <t xml:space="preserve">Salva con nome</t>
  </si>
  <si>
    <t xml:space="preserve">Usa 'Salva con nome' (Ctrl+Shift+S) per creare una copia del file per ogni scenario: es. 'Tornado_BIA_Scenario_Siccità.xlsx', 'Tornado_BIA_Scenario_Cyber.xlsx'</t>
  </si>
  <si>
    <t xml:space="preserve">Rinomina lo scenario</t>
  </si>
  <si>
    <t xml:space="preserve">Nel foglio Dati_BIA, cella C6, scrivi il nome del nuovo scenario per tenere traccia dell'analisi.</t>
  </si>
  <si>
    <t xml:space="preserve">Reset valori</t>
  </si>
  <si>
    <t xml:space="preserve">Sostituisci i valori nelle colonne D, E, F con i nuovi dati di scenario. Non eliminare le formule nelle colonne G, H, I.</t>
  </si>
  <si>
    <t xml:space="preserve">Confronto multi-scenario</t>
  </si>
  <si>
    <t xml:space="preserve">Per confrontare scenari diversi, apri i file in parallelo e usa il foglio Calcoli di ciascuno per estrarre i valori della colonna F (Ampiezza). Un grafico di confronto può essere costruito in un foglio Excel separato.</t>
  </si>
  <si>
    <t xml:space="preserve">📊  COME LEGGERE IL TORNADO DIAGRAM</t>
  </si>
  <si>
    <t xml:space="preserve">→</t>
  </si>
  <si>
    <t xml:space="preserve">Ordine delle barre</t>
  </si>
  <si>
    <t xml:space="preserve">La variabile con la MAGGIORE ampiezza di variazione appare in CIMA al grafico. Scendendo verso il basso, l'impatto diminuisce — forma a 'tornado'.</t>
  </si>
  <si>
    <t xml:space="preserve">Barre rosse (Low / Scenario Pessimistico)</t>
  </si>
  <si>
    <t xml:space="preserve">Mostrano l'impatto se la variabile assume il valore MINIMO. Si estendono a sinistra della baseline = impatto negativo (es. downtime maggiore del previsto).</t>
  </si>
  <si>
    <t xml:space="preserve">Barre teal (High / Scenario Ottimistico)</t>
  </si>
  <si>
    <t xml:space="preserve">Mostrano l'impatto se la variabile assume il valore MASSIMO. Si estendono a destra della baseline = impatto positivo (es. costi di recupero contenuti).</t>
  </si>
  <si>
    <t xml:space="preserve">Ampiezza della barra</t>
  </si>
  <si>
    <t xml:space="preserve">Più larga è la barra doppia, maggiore è l'incertezza e la sensibilità dell'impatto totale a quella variabile. Concentrare le azioni di mitigazione sulle variabili in cima al grafico.</t>
  </si>
  <si>
    <t xml:space="preserve">Livello di Rischio (foglio Calcoli, colonna H)</t>
  </si>
  <si>
    <t xml:space="preserve">🔴 CRITICO = ampiezza ≥50% della baseline | 🟠 ALTO = 20–49% | 🟡 MEDIO = 10–19% | 🟢 BASSO = &lt;10%</t>
  </si>
  <si>
    <t xml:space="preserve">⚠️  LIMITAZIONI E AVVERTENZE</t>
  </si>
  <si>
    <t xml:space="preserve">• Il modello assume INDIPENDENZA tra le variabili: non cattura effetti correlati o cascata. Per scenari correlati usare simulazioni Monte Carlo.
• Aggiungere o rimuovere variabili richiede l'aggiornamento manuale dei range LARGE() nel foglio Calcoli.
• In caso di due variabili con identica ampiezza, MATCH restituisce la prima occorrenza — aggiungere una piccola variazione per distinguerle.
• Il grafico openpyxl è compatibile con Excel 2016+ e LibreOffice Calc 7+.</t>
  </si>
  <si>
    <t xml:space="preserve">BUSINESS IMPACT ANALYSIS — Dati Variabili di Rischio</t>
  </si>
  <si>
    <t xml:space="preserve">Inserisci i valori per ogni variabile di rischio. Il foglio Calcoli aggiornerà automaticamente il Tornado Diagram.</t>
  </si>
  <si>
    <t xml:space="preserve">PARAMETRI GENERALI DELLA SIMULAZIONE</t>
  </si>
  <si>
    <t xml:space="preserve">Descrizione Scenario</t>
  </si>
  <si>
    <t xml:space="preserve">Scenario Base — Interruzione Operativa</t>
  </si>
  <si>
    <t xml:space="preserve">Data Analisi</t>
  </si>
  <si>
    <t xml:space="preserve">27/06/2026</t>
  </si>
  <si>
    <t xml:space="preserve">Responsabile BIA</t>
  </si>
  <si>
    <t xml:space="preserve">Risk Manager</t>
  </si>
  <si>
    <t xml:space="preserve">Valuta di riferimento</t>
  </si>
  <si>
    <t xml:space="preserve">EUR</t>
  </si>
  <si>
    <t xml:space="preserve">Periodo di analisi (giorni)</t>
  </si>
  <si>
    <t xml:space="preserve">VARIABILI DI RISCHIO — Valori per Analisi di Sensitività</t>
  </si>
  <si>
    <t xml:space="preserve">Variabile di Rischio</t>
  </si>
  <si>
    <t xml:space="preserve">Categoria</t>
  </si>
  <si>
    <t xml:space="preserve">Valore
Minimo (Low)</t>
  </si>
  <si>
    <t xml:space="preserve">Valore
Nominale (Base)</t>
  </si>
  <si>
    <t xml:space="preserve">Valore
Massimo (High)</t>
  </si>
  <si>
    <t xml:space="preserve">Impatto Min
vs Baseline (€)</t>
  </si>
  <si>
    <t xml:space="preserve">Impatto Max
vs Baseline (€)</t>
  </si>
  <si>
    <t xml:space="preserve">Ampiezza
Variazione (€)</t>
  </si>
  <si>
    <t xml:space="preserve">Note / Assunzioni</t>
  </si>
  <si>
    <t xml:space="preserve">Ore di Downtime Sistemi IT</t>
  </si>
  <si>
    <t xml:space="preserve">Tecnologia</t>
  </si>
  <si>
    <t xml:space="preserve">Basato su RTO aziendale; include ripristino backup</t>
  </si>
  <si>
    <t xml:space="preserve">Costo per Ora di Downtime (€)</t>
  </si>
  <si>
    <t xml:space="preserve">Comprende mancato fatturato + costi operativi</t>
  </si>
  <si>
    <t xml:space="preserve">Perdita di Ricavi Giornaliera (€)</t>
  </si>
  <si>
    <t xml:space="preserve">Finanziario</t>
  </si>
  <si>
    <t xml:space="preserve">Stimata su media ricavi ultimi 12 mesi</t>
  </si>
  <si>
    <t xml:space="preserve">Costi di Recupero Dati (€)</t>
  </si>
  <si>
    <t xml:space="preserve">Ripristino DB, consulenza specialistica, licenze</t>
  </si>
  <si>
    <t xml:space="preserve">Penali Contrattuali (€)</t>
  </si>
  <si>
    <t xml:space="preserve">Legale/Contrattuale</t>
  </si>
  <si>
    <t xml:space="preserve">SLA con clienti enterprise; clausole penali</t>
  </si>
  <si>
    <t xml:space="preserve">Costi di Comunicazione Crisi (€)</t>
  </si>
  <si>
    <t xml:space="preserve">Reputazione</t>
  </si>
  <si>
    <t xml:space="preserve">PR, legale, customer care straordinario</t>
  </si>
  <si>
    <t xml:space="preserve">Personale Straordinario (€)</t>
  </si>
  <si>
    <t xml:space="preserve">Operativo</t>
  </si>
  <si>
    <t xml:space="preserve">Ore extra, consulenti esterni, interim manager</t>
  </si>
  <si>
    <t xml:space="preserve">Perdita Clienti Stimata (%)</t>
  </si>
  <si>
    <t xml:space="preserve">Commerciale</t>
  </si>
  <si>
    <t xml:space="preserve">Churn post-incidente; basato su benchmark settore</t>
  </si>
  <si>
    <t xml:space="preserve">Costi Assicurativi Aggiuntivi (€)</t>
  </si>
  <si>
    <t xml:space="preserve">Premio aggiuntivo post-sinistro</t>
  </si>
  <si>
    <t xml:space="preserve">Sanzioni Regolamentari (€)</t>
  </si>
  <si>
    <t xml:space="preserve">Compliance</t>
  </si>
  <si>
    <t xml:space="preserve">GDPR, NIS2, normative settoriali applicabili</t>
  </si>
  <si>
    <t xml:space="preserve">Ripristino Infrastruttura Fisica (€)</t>
  </si>
  <si>
    <t xml:space="preserve">Sedi, apparati, magazzino</t>
  </si>
  <si>
    <t xml:space="preserve">Costi Legali e Forensi (€)</t>
  </si>
  <si>
    <t xml:space="preserve">Indagini forensi, assistenza legale, notifiche</t>
  </si>
  <si>
    <t xml:space="preserve">TOTALE BASELINE (Valori Nominali)</t>
  </si>
  <si>
    <t xml:space="preserve">CALCOLI TORNADO DIAGRAM — Variazione vs Baseline con Ordinamento</t>
  </si>
  <si>
    <t xml:space="preserve">Questa tabella usa LARGE/SMALL per ordinare automaticamente le variabili per ampiezza di impatto. Il Tornado Diagram si aggiornerà ad ogni modifica dei Dati_BIA.</t>
  </si>
  <si>
    <t xml:space="preserve">BASELINE DI RIFERIMENTO</t>
  </si>
  <si>
    <t xml:space="preserve">Baseline Totale (somma valori nominali, €)</t>
  </si>
  <si>
    <t xml:space="preserve">Scenario Peggiore — Impatto Massimo (€)</t>
  </si>
  <si>
    <t xml:space="preserve">Scenario Migliore — Impatto Minimo (€)</t>
  </si>
  <si>
    <t xml:space="preserve">Variazione Massima Totale (€)</t>
  </si>
  <si>
    <t xml:space="preserve">Variazione Minima Totale (€)</t>
  </si>
  <si>
    <t xml:space="preserve">TABELLA ORDINATA PER AMPIEZZA DI VARIAZIONE (usata dal grafico)</t>
  </si>
  <si>
    <t xml:space="preserve">Rank</t>
  </si>
  <si>
    <t xml:space="preserve">Impatto MIN
vs Baseline (€)</t>
  </si>
  <si>
    <t xml:space="preserve">Impatto MAX
vs Baseline (€)</t>
  </si>
  <si>
    <t xml:space="preserve">% su Baseline</t>
  </si>
  <si>
    <t xml:space="preserve">Livello di
Rischio</t>
  </si>
  <si>
    <t xml:space="preserve">NOTE METODOLOGICHE</t>
  </si>
  <si>
    <t xml:space="preserve">• L'ordinamento usa LARGE() sulla colonna Ampiezza (I) del foglio Dati_BIA: le variabili con maggiore swing appaiono in cima al grafico.
• In caso di valori identici, MATCH recupera la prima occorrenza — inserire variabili con ampiezza diversa per evitare duplicati.
• La colonna G (% su Baseline) normalizza l'ampiezza rispetto al totale baseline; utile per confronti inter-simulazione.
• Il Livello di Rischio è calcolato automaticamente: ≥50% Critico | 20–49% Alto | 10–19% Medio | &lt;10% Basso.</t>
  </si>
  <si>
    <t xml:space="preserve">TORNADO DIAGRAM — Business Impact Analysis</t>
  </si>
  <si>
    <t xml:space="preserve">Grafico a barre speculare. Le variabili sono ordinate per ampiezza di impatto (maggiore in alto). Barre sinistre = scenario pessimistico (Low), barre destre = scenario ottimistico (High).</t>
  </si>
  <si>
    <t xml:space="preserve">DATI GRAFICO (aggiornamento automatico da Calcoli)</t>
  </si>
  <si>
    <t xml:space="preserve">Variabile (ordinata per impatto)</t>
  </si>
  <si>
    <t xml:space="preserve">Low: Impatto Min
vs Baseline (€)</t>
  </si>
  <si>
    <t xml:space="preserve">High: Impatto Max
vs Baseline (€)</t>
  </si>
  <si>
    <t xml:space="preserve">Ampiezza
(€)</t>
  </si>
  <si>
    <t xml:space="preserve">Baseline
(€)</t>
  </si>
  <si>
    <t xml:space="preserve">% Impatto</t>
  </si>
  <si>
    <t xml:space="preserve">⚡ Baseline Totale: =Calcoli!F6  |  Max Impatto Positivo: =Calcoli!F7  |  Max Impatto Negativo: =Calcoli!F8  — aggiornamento automatico dal foglio Dati_BIA</t>
  </si>
  <si>
    <t xml:space="preserve">🔴 Barre rosse (Low) = impatto negativo rispetto alla baseline  |  🟦 Barre teal (High) = impatto positivo rispetto alla baseline  |  Ordinamento: maggiore ampiezza in cima</t>
  </si>
</sst>
</file>

<file path=xl/styles.xml><?xml version="1.0" encoding="utf-8"?>
<styleSheet xmlns="http://schemas.openxmlformats.org/spreadsheetml/2006/main">
  <numFmts count="4">
    <numFmt numFmtId="164" formatCode="General"/>
    <numFmt numFmtId="165" formatCode="#,##0.0"/>
    <numFmt numFmtId="166" formatCode="#,##0.00"/>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b val="true"/>
      <sz val="11"/>
      <color rgb="FFFFFFFF"/>
      <name val="Calibri"/>
      <family val="0"/>
      <charset val="1"/>
    </font>
    <font>
      <b val="true"/>
      <sz val="10"/>
      <color rgb="FF1B474D"/>
      <name val="Calibri"/>
      <family val="0"/>
      <charset val="1"/>
    </font>
    <font>
      <sz val="10"/>
      <color rgb="FF28251D"/>
      <name val="Calibri"/>
      <family val="0"/>
      <charset val="1"/>
    </font>
    <font>
      <i val="true"/>
      <sz val="9"/>
      <color rgb="FF964219"/>
      <name val="Calibri"/>
      <family val="0"/>
      <charset val="1"/>
    </font>
    <font>
      <b val="true"/>
      <sz val="14"/>
      <color rgb="FFFFFFFF"/>
      <name val="Calibri"/>
      <family val="0"/>
      <charset val="1"/>
    </font>
    <font>
      <i val="true"/>
      <sz val="9"/>
      <color rgb="FF1B474D"/>
      <name val="Calibri"/>
      <family val="0"/>
      <charset val="1"/>
    </font>
    <font>
      <b val="true"/>
      <sz val="10"/>
      <color rgb="FFFFFFFF"/>
      <name val="Calibri"/>
      <family val="0"/>
      <charset val="1"/>
    </font>
    <font>
      <sz val="10"/>
      <name val="Calibri"/>
      <family val="0"/>
      <charset val="1"/>
    </font>
    <font>
      <sz val="10"/>
      <color rgb="FFA13544"/>
      <name val="Calibri"/>
      <family val="0"/>
      <charset val="1"/>
    </font>
    <font>
      <sz val="10"/>
      <color rgb="FF20808D"/>
      <name val="Calibri"/>
      <family val="0"/>
      <charset val="1"/>
    </font>
    <font>
      <b val="true"/>
      <sz val="10"/>
      <name val="Calibri"/>
      <family val="0"/>
      <charset val="1"/>
    </font>
    <font>
      <i val="true"/>
      <sz val="9"/>
      <color rgb="FF7A7974"/>
      <name val="Calibri"/>
      <family val="0"/>
      <charset val="1"/>
    </font>
    <font>
      <b val="true"/>
      <sz val="10"/>
      <color rgb="FF7A7974"/>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1B474D"/>
        <bgColor rgb="FF28251D"/>
      </patternFill>
    </fill>
    <fill>
      <patternFill patternType="solid">
        <fgColor rgb="FF20808D"/>
        <bgColor rgb="FF008080"/>
      </patternFill>
    </fill>
    <fill>
      <patternFill patternType="solid">
        <fgColor rgb="FFBCE2E7"/>
        <bgColor rgb="FFD9D9D9"/>
      </patternFill>
    </fill>
    <fill>
      <patternFill patternType="solid">
        <fgColor rgb="FFFFFFFF"/>
        <bgColor rgb="FFF9F8F5"/>
      </patternFill>
    </fill>
    <fill>
      <patternFill patternType="solid">
        <fgColor rgb="FFF9F8F5"/>
        <bgColor rgb="FFF2FAFB"/>
      </patternFill>
    </fill>
    <fill>
      <patternFill patternType="solid">
        <fgColor rgb="FFFFF3CD"/>
        <bgColor rgb="FFFFFDE7"/>
      </patternFill>
    </fill>
    <fill>
      <patternFill patternType="solid">
        <fgColor rgb="FFFFFDE7"/>
        <bgColor rgb="FFF9F8F5"/>
      </patternFill>
    </fill>
    <fill>
      <patternFill patternType="solid">
        <fgColor rgb="FFF2FAFB"/>
        <bgColor rgb="FFF9F8F5"/>
      </patternFill>
    </fill>
    <fill>
      <patternFill patternType="solid">
        <fgColor rgb="FFEBF5FB"/>
        <bgColor rgb="FFF2FAFB"/>
      </patternFill>
    </fill>
  </fills>
  <borders count="3">
    <border diagonalUp="false" diagonalDown="false">
      <left/>
      <right/>
      <top/>
      <bottom/>
      <diagonal/>
    </border>
    <border diagonalUp="false" diagonalDown="false">
      <left style="thin">
        <color rgb="FFD4D1CA"/>
      </left>
      <right/>
      <top style="thin">
        <color rgb="FFD4D1CA"/>
      </top>
      <bottom style="thin">
        <color rgb="FFD4D1CA"/>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7"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5" fontId="13" fillId="0" borderId="2" xfId="0" applyFont="true" applyBorder="true" applyAlignment="true" applyProtection="false">
      <alignment horizontal="right" vertical="center" textRotation="0" wrapText="false" indent="0" shrinkToFit="false"/>
      <protection locked="true" hidden="false"/>
    </xf>
    <xf numFmtId="165" fontId="6" fillId="8" borderId="2" xfId="0" applyFont="true" applyBorder="true" applyAlignment="true" applyProtection="false">
      <alignment horizontal="right" vertical="center" textRotation="0" wrapText="false" indent="0" shrinkToFit="false"/>
      <protection locked="true" hidden="false"/>
    </xf>
    <xf numFmtId="165" fontId="14" fillId="0" borderId="2" xfId="0" applyFont="true" applyBorder="true" applyAlignment="true" applyProtection="false">
      <alignment horizontal="right" vertical="center" textRotation="0" wrapText="false" indent="0" shrinkToFit="false"/>
      <protection locked="true" hidden="false"/>
    </xf>
    <xf numFmtId="165" fontId="12" fillId="0" borderId="2" xfId="0" applyFont="true" applyBorder="true" applyAlignment="true" applyProtection="false">
      <alignment horizontal="right" vertical="center" textRotation="0" wrapText="false" indent="0" shrinkToFit="false"/>
      <protection locked="true" hidden="false"/>
    </xf>
    <xf numFmtId="165" fontId="15" fillId="0" borderId="2" xfId="0" applyFont="true" applyBorder="true" applyAlignment="true" applyProtection="false">
      <alignment horizontal="right" vertical="center" textRotation="0" wrapText="fals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4" fontId="6" fillId="9" borderId="2" xfId="0" applyFont="true" applyBorder="true" applyAlignment="true" applyProtection="false">
      <alignment horizontal="left" vertical="center" textRotation="0" wrapText="false" indent="0" shrinkToFit="false"/>
      <protection locked="true" hidden="false"/>
    </xf>
    <xf numFmtId="164" fontId="12" fillId="9" borderId="2" xfId="0" applyFont="true" applyBorder="true" applyAlignment="true" applyProtection="false">
      <alignment horizontal="center" vertical="center" textRotation="0" wrapText="false" indent="0" shrinkToFit="false"/>
      <protection locked="true" hidden="false"/>
    </xf>
    <xf numFmtId="165" fontId="13" fillId="9" borderId="2" xfId="0" applyFont="true" applyBorder="true" applyAlignment="true" applyProtection="false">
      <alignment horizontal="right" vertical="center" textRotation="0" wrapText="false" indent="0" shrinkToFit="false"/>
      <protection locked="true" hidden="false"/>
    </xf>
    <xf numFmtId="165" fontId="14" fillId="9" borderId="2" xfId="0" applyFont="true" applyBorder="true" applyAlignment="true" applyProtection="false">
      <alignment horizontal="right" vertical="center" textRotation="0" wrapText="false" indent="0" shrinkToFit="false"/>
      <protection locked="true" hidden="false"/>
    </xf>
    <xf numFmtId="165" fontId="12" fillId="9" borderId="2" xfId="0" applyFont="true" applyBorder="true" applyAlignment="true" applyProtection="false">
      <alignment horizontal="right" vertical="center" textRotation="0" wrapText="false" indent="0" shrinkToFit="false"/>
      <protection locked="true" hidden="false"/>
    </xf>
    <xf numFmtId="165" fontId="15" fillId="9" borderId="2" xfId="0" applyFont="true" applyBorder="true" applyAlignment="true" applyProtection="false">
      <alignment horizontal="right" vertical="center" textRotation="0" wrapText="false" indent="0" shrinkToFit="false"/>
      <protection locked="true" hidden="false"/>
    </xf>
    <xf numFmtId="164" fontId="16" fillId="9" borderId="2"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5" fontId="11" fillId="2"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6" fontId="15" fillId="8" borderId="2" xfId="0" applyFont="true" applyBorder="true" applyAlignment="true" applyProtection="false">
      <alignment horizontal="right"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67" fontId="12" fillId="0" borderId="2" xfId="0" applyFont="true" applyBorder="true" applyAlignment="true" applyProtection="false">
      <alignment horizontal="right"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false" indent="0" shrinkToFit="false"/>
      <protection locked="true" hidden="false"/>
    </xf>
    <xf numFmtId="167" fontId="12" fillId="9" borderId="2" xfId="0" applyFont="true" applyBorder="true" applyAlignment="true" applyProtection="false">
      <alignment horizontal="right" vertical="center" textRotation="0" wrapText="false" indent="0" shrinkToFit="false"/>
      <protection locked="true" hidden="false"/>
    </xf>
    <xf numFmtId="165" fontId="12" fillId="8" borderId="2" xfId="0" applyFont="true" applyBorder="true" applyAlignment="true" applyProtection="false">
      <alignment horizontal="right" vertical="center" textRotation="0" wrapText="false" indent="0" shrinkToFit="false"/>
      <protection locked="true" hidden="false"/>
    </xf>
    <xf numFmtId="164" fontId="10" fillId="10"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Calibri"/>
        <charset val="1"/>
        <family val="0"/>
        <color rgb="FFA13544"/>
      </font>
      <fill>
        <patternFill>
          <bgColor rgb="FFFFDCE5"/>
        </patternFill>
      </fill>
    </dxf>
    <dxf>
      <font>
        <name val="Calibri"/>
        <charset val="1"/>
        <family val="0"/>
        <color rgb="FF20808D"/>
      </font>
      <fill>
        <patternFill>
          <bgColor rgb="FFDCF5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D4D1CA"/>
      <rgbColor rgb="FF878787"/>
      <rgbColor rgb="FF9999FF"/>
      <rgbColor rgb="FFA13544"/>
      <rgbColor rgb="FFFFFDE7"/>
      <rgbColor rgb="FFDCF5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5FB"/>
      <rgbColor rgb="FFBCE2E7"/>
      <rgbColor rgb="FFFFF3CD"/>
      <rgbColor rgb="FFF2FAFB"/>
      <rgbColor rgb="FFFFDCE5"/>
      <rgbColor rgb="FFF9F8F5"/>
      <rgbColor rgb="FFFFC553"/>
      <rgbColor rgb="FF3366FF"/>
      <rgbColor rgb="FF33CCCC"/>
      <rgbColor rgb="FF99CC00"/>
      <rgbColor rgb="FFFFCC00"/>
      <rgbColor rgb="FFFF9900"/>
      <rgbColor rgb="FFFF6600"/>
      <rgbColor rgb="FF7A7974"/>
      <rgbColor rgb="FF969696"/>
      <rgbColor rgb="FF1B474D"/>
      <rgbColor rgb="FF339966"/>
      <rgbColor rgb="FF003300"/>
      <rgbColor rgb="FF333300"/>
      <rgbColor rgb="FF964219"/>
      <rgbColor rgb="FF993366"/>
      <rgbColor rgb="FF333399"/>
      <rgbColor rgb="FF2825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Tornado Diagram — Sensitività dell'Impatto BIA</a:t>
            </a:r>
          </a:p>
        </c:rich>
      </c:tx>
      <c:overlay val="0"/>
      <c:spPr>
        <a:noFill/>
        <a:ln w="0">
          <a:noFill/>
        </a:ln>
      </c:spPr>
    </c:title>
    <c:autoTitleDeleted val="0"/>
    <c:plotArea>
      <c:barChart>
        <c:barDir val="bar"/>
        <c:grouping val="clustered"/>
        <c:varyColors val="0"/>
        <c:ser>
          <c:idx val="0"/>
          <c:order val="0"/>
          <c:tx>
            <c:strRef>
              <c:f>Tornado_Chart!C6</c:f>
              <c:strCache>
                <c:ptCount val="1"/>
                <c:pt idx="0">
                  <c:v>Low: Impatto Min
vs Baseline (€)</c:v>
                </c:pt>
              </c:strCache>
            </c:strRef>
          </c:tx>
          <c:spPr>
            <a:solidFill>
              <a:srgbClr val="A13544"/>
            </a:solidFill>
            <a:ln w="12600">
              <a:solidFill>
                <a:srgbClr val="A13544"/>
              </a:solidFill>
              <a:round/>
            </a:ln>
          </c:spPr>
          <c:invertIfNegative val="0"/>
          <c:dLbls>
            <c:numFmt formatCode="#,##0.0" sourceLinked="1"/>
            <c:txPr>
              <a:bodyPr wrap="square"/>
              <a:lstStyle/>
              <a:p>
                <a:pPr>
                  <a:defRPr sz="1000" b="0" u="none" strike="noStrike">
                    <a:solidFill>
                      <a:srgbClr val="000000"/>
                    </a:solidFill>
                    <a:uFillTx/>
                    <a:latin typeface="Calibri"/>
                  </a:defRPr>
                </a:pPr>
              </a:p>
            </c:txPr>
            <c:dLblPos val="outEnd"/>
            <c:showLegendKey val="0"/>
            <c:showVal val="1"/>
            <c:showCatName val="0"/>
            <c:showSerName val="1"/>
            <c:showPercent val="0"/>
            <c:separator>; </c:separator>
            <c:showLeaderLines val="1"/>
            <c:leaderLines>
              <c:spPr>
                <a:ln w="0">
                  <a:solidFill>
                    <a:srgbClr val="A13544"/>
                  </a:solidFill>
                </a:ln>
              </c:spPr>
            </c:leaderLines>
            <c:extLst>
              <c:ext xmlns:c15="http://schemas.microsoft.com/office/drawing/2012/chart" uri="{CE6537A1-D6FC-4f65-9D91-7224C49458BB}">
                <c15:showLeaderLines val="1"/>
              </c:ext>
            </c:extLst>
          </c:dLbls>
          <c:cat>
            <c:strRef>
              <c:f>Tornado_Chart!$B$7:$B$18</c:f>
              <c:strCache>
                <c:ptCount val="12"/>
                <c:pt idx="0">
                  <c:v>Sanzioni Regolamentari (€)</c:v>
                </c:pt>
                <c:pt idx="1">
                  <c:v>Perdita di Ricavi Giornaliera (€)</c:v>
                </c:pt>
                <c:pt idx="2">
                  <c:v>Ripristino Infrastruttura Fisica (€)</c:v>
                </c:pt>
                <c:pt idx="3">
                  <c:v>Penali Contrattuali (€)</c:v>
                </c:pt>
                <c:pt idx="4">
                  <c:v>Costi Legali e Forensi (€)</c:v>
                </c:pt>
                <c:pt idx="5">
                  <c:v>Costi di Recupero Dati (€)</c:v>
                </c:pt>
                <c:pt idx="6">
                  <c:v>Personale Straordinario (€)</c:v>
                </c:pt>
                <c:pt idx="7">
                  <c:v>Costo per Ora di Downtime (€)</c:v>
                </c:pt>
                <c:pt idx="8">
                  <c:v>Costi di Comunicazione Crisi (€)</c:v>
                </c:pt>
                <c:pt idx="9">
                  <c:v>Costi Assicurativi Aggiuntivi (€)</c:v>
                </c:pt>
                <c:pt idx="10">
                  <c:v>Ore di Downtime Sistemi IT</c:v>
                </c:pt>
                <c:pt idx="11">
                  <c:v>Perdita Clienti Stimata (%)</c:v>
                </c:pt>
              </c:strCache>
            </c:strRef>
          </c:cat>
          <c:val>
            <c:numRef>
              <c:f>Tornado_Chart!$C$7:$C$18</c:f>
              <c:numCache>
                <c:formatCode>#,##0.0</c:formatCode>
                <c:ptCount val="12"/>
                <c:pt idx="0">
                  <c:v>-25000</c:v>
                </c:pt>
                <c:pt idx="1">
                  <c:v>-40000</c:v>
                </c:pt>
                <c:pt idx="2">
                  <c:v>-30000</c:v>
                </c:pt>
                <c:pt idx="3">
                  <c:v>-15000</c:v>
                </c:pt>
                <c:pt idx="4">
                  <c:v>-16000</c:v>
                </c:pt>
                <c:pt idx="5">
                  <c:v>-18000</c:v>
                </c:pt>
                <c:pt idx="6">
                  <c:v>-9000</c:v>
                </c:pt>
                <c:pt idx="7">
                  <c:v>-10000</c:v>
                </c:pt>
                <c:pt idx="8">
                  <c:v>-7000</c:v>
                </c:pt>
                <c:pt idx="9">
                  <c:v>-4500</c:v>
                </c:pt>
                <c:pt idx="10">
                  <c:v>-20</c:v>
                </c:pt>
                <c:pt idx="11">
                  <c:v>-2.5</c:v>
                </c:pt>
              </c:numCache>
            </c:numRef>
          </c:val>
        </c:ser>
        <c:ser>
          <c:idx val="1"/>
          <c:order val="1"/>
          <c:tx>
            <c:strRef>
              <c:f>Tornado_Chart!D6</c:f>
              <c:strCache>
                <c:ptCount val="1"/>
                <c:pt idx="0">
                  <c:v>High: Impatto Max
vs Baseline (€)</c:v>
                </c:pt>
              </c:strCache>
            </c:strRef>
          </c:tx>
          <c:spPr>
            <a:solidFill>
              <a:srgbClr val="20808D"/>
            </a:solidFill>
            <a:ln w="12600">
              <a:solidFill>
                <a:srgbClr val="20808D"/>
              </a:solidFill>
              <a:round/>
            </a:ln>
          </c:spPr>
          <c:invertIfNegative val="0"/>
          <c:dLbls>
            <c:numFmt formatCode="#,##0.0" sourceLinked="1"/>
            <c:txPr>
              <a:bodyPr wrap="square"/>
              <a:lstStyle/>
              <a:p>
                <a:pPr>
                  <a:defRPr sz="1000" b="0" u="none" strike="noStrike">
                    <a:solidFill>
                      <a:srgbClr val="000000"/>
                    </a:solidFill>
                    <a:uFillTx/>
                    <a:latin typeface="Calibri"/>
                  </a:defRPr>
                </a:pPr>
              </a:p>
            </c:txPr>
            <c:dLblPos val="outEnd"/>
            <c:showLegendKey val="0"/>
            <c:showVal val="1"/>
            <c:showCatName val="0"/>
            <c:showSerName val="1"/>
            <c:showPercent val="0"/>
            <c:separator>; </c:separator>
            <c:showLeaderLines val="1"/>
            <c:leaderLines>
              <c:spPr>
                <a:ln w="0">
                  <a:solidFill>
                    <a:srgbClr val="20808D"/>
                  </a:solidFill>
                </a:ln>
              </c:spPr>
            </c:leaderLines>
            <c:extLst>
              <c:ext xmlns:c15="http://schemas.microsoft.com/office/drawing/2012/chart" uri="{CE6537A1-D6FC-4f65-9D91-7224C49458BB}">
                <c15:showLeaderLines val="1"/>
              </c:ext>
            </c:extLst>
          </c:dLbls>
          <c:cat>
            <c:strRef>
              <c:f>Tornado_Chart!$B$7:$B$18</c:f>
              <c:strCache>
                <c:ptCount val="12"/>
                <c:pt idx="0">
                  <c:v>Sanzioni Regolamentari (€)</c:v>
                </c:pt>
                <c:pt idx="1">
                  <c:v>Perdita di Ricavi Giornaliera (€)</c:v>
                </c:pt>
                <c:pt idx="2">
                  <c:v>Ripristino Infrastruttura Fisica (€)</c:v>
                </c:pt>
                <c:pt idx="3">
                  <c:v>Penali Contrattuali (€)</c:v>
                </c:pt>
                <c:pt idx="4">
                  <c:v>Costi Legali e Forensi (€)</c:v>
                </c:pt>
                <c:pt idx="5">
                  <c:v>Costi di Recupero Dati (€)</c:v>
                </c:pt>
                <c:pt idx="6">
                  <c:v>Personale Straordinario (€)</c:v>
                </c:pt>
                <c:pt idx="7">
                  <c:v>Costo per Ora di Downtime (€)</c:v>
                </c:pt>
                <c:pt idx="8">
                  <c:v>Costi di Comunicazione Crisi (€)</c:v>
                </c:pt>
                <c:pt idx="9">
                  <c:v>Costi Assicurativi Aggiuntivi (€)</c:v>
                </c:pt>
                <c:pt idx="10">
                  <c:v>Ore di Downtime Sistemi IT</c:v>
                </c:pt>
                <c:pt idx="11">
                  <c:v>Perdita Clienti Stimata (%)</c:v>
                </c:pt>
              </c:strCache>
            </c:strRef>
          </c:cat>
          <c:val>
            <c:numRef>
              <c:f>Tornado_Chart!$D$7:$D$18</c:f>
              <c:numCache>
                <c:formatCode>#,##0.0</c:formatCode>
                <c:ptCount val="12"/>
                <c:pt idx="0">
                  <c:v>475000</c:v>
                </c:pt>
                <c:pt idx="1">
                  <c:v>150000</c:v>
                </c:pt>
                <c:pt idx="2">
                  <c:v>120000</c:v>
                </c:pt>
                <c:pt idx="3">
                  <c:v>105000</c:v>
                </c:pt>
                <c:pt idx="4">
                  <c:v>72000</c:v>
                </c:pt>
                <c:pt idx="5">
                  <c:v>60000</c:v>
                </c:pt>
                <c:pt idx="6">
                  <c:v>38000</c:v>
                </c:pt>
                <c:pt idx="7">
                  <c:v>30000</c:v>
                </c:pt>
                <c:pt idx="8">
                  <c:v>27000</c:v>
                </c:pt>
                <c:pt idx="9">
                  <c:v>15000</c:v>
                </c:pt>
                <c:pt idx="10">
                  <c:v>48</c:v>
                </c:pt>
                <c:pt idx="11">
                  <c:v>12</c:v>
                </c:pt>
              </c:numCache>
            </c:numRef>
          </c:val>
        </c:ser>
        <c:gapWidth val="150"/>
        <c:overlap val="0"/>
        <c:axId val="39893977"/>
        <c:axId val="56833301"/>
      </c:barChart>
      <c:catAx>
        <c:axId val="39893977"/>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Variazione vs Baseline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833301"/>
        <c:crosses val="autoZero"/>
        <c:auto val="1"/>
        <c:lblAlgn val="ctr"/>
        <c:lblOffset val="100"/>
        <c:noMultiLvlLbl val="0"/>
      </c:catAx>
      <c:valAx>
        <c:axId val="56833301"/>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Variabile di Rischio</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89397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9</xdr:col>
      <xdr:colOff>115920</xdr:colOff>
      <xdr:row>54</xdr:row>
      <xdr:rowOff>2160</xdr:rowOff>
    </xdr:to>
    <xdr:graphicFrame>
      <xdr:nvGraphicFramePr>
        <xdr:cNvPr id="1" name="Chart 1"/>
        <xdr:cNvGraphicFramePr/>
      </xdr:nvGraphicFramePr>
      <xdr:xfrm>
        <a:off x="211320" y="5010120"/>
        <a:ext cx="10079280" cy="64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553"/>
    <pageSetUpPr fitToPage="false"/>
  </sheetPr>
  <dimension ref="B1:E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28"/>
    <col collapsed="false" customWidth="true" hidden="false" outlineLevel="0" max="4" min="4" style="1" width="60"/>
    <col collapsed="false" customWidth="true" hidden="false" outlineLevel="0" max="5" min="5" style="1" width="20"/>
  </cols>
  <sheetData>
    <row r="1" customFormat="false" ht="7.5" hidden="false" customHeight="true" outlineLevel="0" collapsed="false"/>
    <row r="2" customFormat="false" ht="36" hidden="false" customHeight="true" outlineLevel="0" collapsed="false">
      <c r="B2" s="2" t="s">
        <v>0</v>
      </c>
      <c r="C2" s="2"/>
      <c r="D2" s="2"/>
      <c r="E2" s="2"/>
    </row>
    <row r="3" customFormat="false" ht="7.5" hidden="false" customHeight="true" outlineLevel="0" collapsed="false"/>
    <row r="4" customFormat="false" ht="24" hidden="false" customHeight="true" outlineLevel="0" collapsed="false">
      <c r="B4" s="3" t="s">
        <v>1</v>
      </c>
      <c r="C4" s="3"/>
      <c r="D4" s="3"/>
      <c r="E4" s="3"/>
    </row>
    <row r="5" customFormat="false" ht="27.75" hidden="false" customHeight="true" outlineLevel="0" collapsed="false">
      <c r="B5" s="4" t="s">
        <v>2</v>
      </c>
      <c r="C5" s="5" t="s">
        <v>3</v>
      </c>
      <c r="D5" s="6" t="s">
        <v>4</v>
      </c>
      <c r="E5" s="6"/>
    </row>
    <row r="6" customFormat="false" ht="27.75" hidden="false" customHeight="true" outlineLevel="0" collapsed="false">
      <c r="B6" s="4" t="s">
        <v>5</v>
      </c>
      <c r="C6" s="5" t="s">
        <v>6</v>
      </c>
      <c r="D6" s="6" t="s">
        <v>7</v>
      </c>
      <c r="E6" s="6"/>
    </row>
    <row r="7" customFormat="false" ht="27.75" hidden="false" customHeight="true" outlineLevel="0" collapsed="false">
      <c r="B7" s="4" t="s">
        <v>8</v>
      </c>
      <c r="C7" s="5" t="s">
        <v>9</v>
      </c>
      <c r="D7" s="6" t="s">
        <v>10</v>
      </c>
      <c r="E7" s="6"/>
    </row>
    <row r="8" customFormat="false" ht="27.75" hidden="false" customHeight="true" outlineLevel="0" collapsed="false">
      <c r="B8" s="4" t="s">
        <v>11</v>
      </c>
      <c r="C8" s="5" t="s">
        <v>12</v>
      </c>
      <c r="D8" s="6" t="s">
        <v>13</v>
      </c>
      <c r="E8" s="6"/>
    </row>
    <row r="9" customFormat="false" ht="6" hidden="false" customHeight="true" outlineLevel="0" collapsed="false"/>
    <row r="10" customFormat="false" ht="24" hidden="false" customHeight="true" outlineLevel="0" collapsed="false">
      <c r="B10" s="3" t="s">
        <v>14</v>
      </c>
      <c r="C10" s="3"/>
      <c r="D10" s="3"/>
      <c r="E10" s="3"/>
    </row>
    <row r="11" customFormat="false" ht="27.75" hidden="false" customHeight="true" outlineLevel="0" collapsed="false">
      <c r="B11" s="4" t="s">
        <v>15</v>
      </c>
      <c r="C11" s="5" t="s">
        <v>16</v>
      </c>
      <c r="D11" s="6" t="s">
        <v>17</v>
      </c>
      <c r="E11" s="6"/>
    </row>
    <row r="12" customFormat="false" ht="27.75" hidden="false" customHeight="true" outlineLevel="0" collapsed="false">
      <c r="B12" s="4" t="s">
        <v>18</v>
      </c>
      <c r="C12" s="5" t="s">
        <v>19</v>
      </c>
      <c r="D12" s="6" t="s">
        <v>20</v>
      </c>
      <c r="E12" s="6"/>
    </row>
    <row r="13" customFormat="false" ht="27.75" hidden="false" customHeight="true" outlineLevel="0" collapsed="false">
      <c r="B13" s="4" t="s">
        <v>21</v>
      </c>
      <c r="C13" s="5" t="s">
        <v>22</v>
      </c>
      <c r="D13" s="6" t="s">
        <v>23</v>
      </c>
      <c r="E13" s="6"/>
    </row>
    <row r="14" customFormat="false" ht="27.75" hidden="false" customHeight="true" outlineLevel="0" collapsed="false">
      <c r="B14" s="4" t="s">
        <v>24</v>
      </c>
      <c r="C14" s="5" t="s">
        <v>25</v>
      </c>
      <c r="D14" s="6" t="s">
        <v>26</v>
      </c>
      <c r="E14" s="6"/>
    </row>
    <row r="15" customFormat="false" ht="27.75" hidden="false" customHeight="true" outlineLevel="0" collapsed="false">
      <c r="B15" s="4" t="s">
        <v>27</v>
      </c>
      <c r="C15" s="5" t="s">
        <v>28</v>
      </c>
      <c r="D15" s="6" t="s">
        <v>29</v>
      </c>
      <c r="E15" s="6"/>
    </row>
    <row r="16" customFormat="false" ht="27.75" hidden="false" customHeight="true" outlineLevel="0" collapsed="false">
      <c r="B16" s="4" t="s">
        <v>30</v>
      </c>
      <c r="C16" s="5" t="s">
        <v>31</v>
      </c>
      <c r="D16" s="6" t="s">
        <v>32</v>
      </c>
      <c r="E16" s="6"/>
    </row>
    <row r="17" customFormat="false" ht="27.75" hidden="false" customHeight="true" outlineLevel="0" collapsed="false">
      <c r="B17" s="4" t="s">
        <v>33</v>
      </c>
      <c r="C17" s="5" t="s">
        <v>34</v>
      </c>
      <c r="D17" s="6" t="s">
        <v>35</v>
      </c>
      <c r="E17" s="6"/>
    </row>
    <row r="18" customFormat="false" ht="27.75" hidden="false" customHeight="true" outlineLevel="0" collapsed="false">
      <c r="B18" s="4" t="s">
        <v>36</v>
      </c>
      <c r="C18" s="5" t="s">
        <v>37</v>
      </c>
      <c r="D18" s="6" t="s">
        <v>38</v>
      </c>
      <c r="E18" s="6"/>
    </row>
    <row r="19" customFormat="false" ht="6" hidden="false" customHeight="true" outlineLevel="0" collapsed="false"/>
    <row r="20" customFormat="false" ht="24" hidden="false" customHeight="true" outlineLevel="0" collapsed="false">
      <c r="B20" s="3" t="s">
        <v>39</v>
      </c>
      <c r="C20" s="3"/>
      <c r="D20" s="3"/>
      <c r="E20" s="3"/>
    </row>
    <row r="21" customFormat="false" ht="27.75" hidden="false" customHeight="true" outlineLevel="0" collapsed="false">
      <c r="B21" s="4" t="s">
        <v>2</v>
      </c>
      <c r="C21" s="5" t="s">
        <v>40</v>
      </c>
      <c r="D21" s="6" t="s">
        <v>41</v>
      </c>
      <c r="E21" s="6"/>
    </row>
    <row r="22" customFormat="false" ht="27.75" hidden="false" customHeight="true" outlineLevel="0" collapsed="false">
      <c r="B22" s="4" t="s">
        <v>5</v>
      </c>
      <c r="C22" s="5" t="s">
        <v>42</v>
      </c>
      <c r="D22" s="6" t="s">
        <v>43</v>
      </c>
      <c r="E22" s="6"/>
    </row>
    <row r="23" customFormat="false" ht="27.75" hidden="false" customHeight="true" outlineLevel="0" collapsed="false">
      <c r="B23" s="4" t="s">
        <v>8</v>
      </c>
      <c r="C23" s="5" t="s">
        <v>44</v>
      </c>
      <c r="D23" s="6" t="s">
        <v>45</v>
      </c>
      <c r="E23" s="6"/>
    </row>
    <row r="24" customFormat="false" ht="27.75" hidden="false" customHeight="true" outlineLevel="0" collapsed="false">
      <c r="B24" s="4" t="s">
        <v>11</v>
      </c>
      <c r="C24" s="5" t="s">
        <v>46</v>
      </c>
      <c r="D24" s="6" t="s">
        <v>47</v>
      </c>
      <c r="E24" s="6"/>
    </row>
    <row r="25" customFormat="false" ht="6" hidden="false" customHeight="true" outlineLevel="0" collapsed="false"/>
    <row r="26" customFormat="false" ht="24" hidden="false" customHeight="true" outlineLevel="0" collapsed="false">
      <c r="B26" s="3" t="s">
        <v>48</v>
      </c>
      <c r="C26" s="3"/>
      <c r="D26" s="3"/>
      <c r="E26" s="3"/>
    </row>
    <row r="27" customFormat="false" ht="27.75" hidden="false" customHeight="true" outlineLevel="0" collapsed="false">
      <c r="B27" s="4" t="s">
        <v>49</v>
      </c>
      <c r="C27" s="5" t="s">
        <v>50</v>
      </c>
      <c r="D27" s="7" t="s">
        <v>51</v>
      </c>
      <c r="E27" s="7"/>
    </row>
    <row r="28" customFormat="false" ht="27.75" hidden="false" customHeight="true" outlineLevel="0" collapsed="false">
      <c r="B28" s="4" t="s">
        <v>49</v>
      </c>
      <c r="C28" s="5" t="s">
        <v>52</v>
      </c>
      <c r="D28" s="7" t="s">
        <v>53</v>
      </c>
      <c r="E28" s="7"/>
    </row>
    <row r="29" customFormat="false" ht="27.75" hidden="false" customHeight="true" outlineLevel="0" collapsed="false">
      <c r="B29" s="4" t="s">
        <v>49</v>
      </c>
      <c r="C29" s="5" t="s">
        <v>54</v>
      </c>
      <c r="D29" s="7" t="s">
        <v>55</v>
      </c>
      <c r="E29" s="7"/>
    </row>
    <row r="30" customFormat="false" ht="27.75" hidden="false" customHeight="true" outlineLevel="0" collapsed="false">
      <c r="B30" s="4" t="s">
        <v>49</v>
      </c>
      <c r="C30" s="5" t="s">
        <v>56</v>
      </c>
      <c r="D30" s="7" t="s">
        <v>57</v>
      </c>
      <c r="E30" s="7"/>
    </row>
    <row r="31" customFormat="false" ht="27.75" hidden="false" customHeight="true" outlineLevel="0" collapsed="false">
      <c r="B31" s="4" t="s">
        <v>49</v>
      </c>
      <c r="C31" s="5" t="s">
        <v>58</v>
      </c>
      <c r="D31" s="7" t="s">
        <v>59</v>
      </c>
      <c r="E31" s="7"/>
    </row>
    <row r="32" customFormat="false" ht="6" hidden="false" customHeight="true" outlineLevel="0" collapsed="false"/>
    <row r="33" customFormat="false" ht="24" hidden="false" customHeight="true" outlineLevel="0" collapsed="false">
      <c r="B33" s="3" t="s">
        <v>60</v>
      </c>
      <c r="C33" s="3"/>
      <c r="D33" s="3"/>
      <c r="E33" s="3"/>
    </row>
    <row r="34" customFormat="false" ht="79.5" hidden="false" customHeight="true" outlineLevel="0" collapsed="false">
      <c r="B34" s="8" t="s">
        <v>61</v>
      </c>
      <c r="C34" s="8"/>
      <c r="D34" s="8"/>
      <c r="E34" s="8"/>
    </row>
  </sheetData>
  <mergeCells count="28">
    <mergeCell ref="B2:E2"/>
    <mergeCell ref="B4:E4"/>
    <mergeCell ref="D5:E5"/>
    <mergeCell ref="D6:E6"/>
    <mergeCell ref="D7:E7"/>
    <mergeCell ref="D8:E8"/>
    <mergeCell ref="B10:E10"/>
    <mergeCell ref="D11:E11"/>
    <mergeCell ref="D12:E12"/>
    <mergeCell ref="D13:E13"/>
    <mergeCell ref="D14:E14"/>
    <mergeCell ref="D15:E15"/>
    <mergeCell ref="D16:E16"/>
    <mergeCell ref="D17:E17"/>
    <mergeCell ref="D18:E18"/>
    <mergeCell ref="B20:E20"/>
    <mergeCell ref="D21:E21"/>
    <mergeCell ref="D22:E22"/>
    <mergeCell ref="D23:E23"/>
    <mergeCell ref="D24:E24"/>
    <mergeCell ref="B26:E26"/>
    <mergeCell ref="D27:E27"/>
    <mergeCell ref="D28:E28"/>
    <mergeCell ref="D29:E29"/>
    <mergeCell ref="D30:E30"/>
    <mergeCell ref="D31:E31"/>
    <mergeCell ref="B33:E33"/>
    <mergeCell ref="B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6" min="3" style="1" width="18"/>
    <col collapsed="false" customWidth="true" hidden="false" outlineLevel="0" max="10" min="7" style="1" width="22"/>
  </cols>
  <sheetData>
    <row r="1" customFormat="false" ht="7.5" hidden="false" customHeight="true" outlineLevel="0" collapsed="false"/>
    <row r="2" customFormat="false" ht="31.5" hidden="false" customHeight="true" outlineLevel="0" collapsed="false">
      <c r="B2" s="9" t="s">
        <v>62</v>
      </c>
      <c r="C2" s="9"/>
      <c r="D2" s="9"/>
      <c r="E2" s="9"/>
      <c r="F2" s="9"/>
      <c r="G2" s="9"/>
      <c r="H2" s="9"/>
      <c r="I2" s="9"/>
      <c r="J2" s="9"/>
    </row>
    <row r="3" customFormat="false" ht="19.5" hidden="false" customHeight="true" outlineLevel="0" collapsed="false">
      <c r="B3" s="10" t="s">
        <v>63</v>
      </c>
      <c r="C3" s="10"/>
      <c r="D3" s="10"/>
      <c r="E3" s="10"/>
      <c r="F3" s="10"/>
      <c r="G3" s="10"/>
      <c r="H3" s="10"/>
      <c r="I3" s="10"/>
      <c r="J3" s="10"/>
    </row>
    <row r="4" customFormat="false" ht="7.5" hidden="false" customHeight="true" outlineLevel="0" collapsed="false"/>
    <row r="5" customFormat="false" ht="15" hidden="false" customHeight="true" outlineLevel="0" collapsed="false">
      <c r="B5" s="11" t="s">
        <v>64</v>
      </c>
      <c r="C5" s="11"/>
      <c r="D5" s="11"/>
      <c r="E5" s="11"/>
      <c r="F5" s="11"/>
      <c r="G5" s="11"/>
      <c r="H5" s="11"/>
      <c r="I5" s="11"/>
      <c r="J5" s="11"/>
    </row>
    <row r="6" customFormat="false" ht="18" hidden="false" customHeight="true" outlineLevel="0" collapsed="false">
      <c r="B6" s="12" t="s">
        <v>65</v>
      </c>
      <c r="C6" s="13" t="s">
        <v>66</v>
      </c>
      <c r="D6" s="13"/>
      <c r="E6" s="13"/>
      <c r="F6" s="13"/>
      <c r="G6" s="13"/>
      <c r="H6" s="13"/>
      <c r="I6" s="13"/>
      <c r="J6" s="13"/>
    </row>
    <row r="7" customFormat="false" ht="18" hidden="false" customHeight="true" outlineLevel="0" collapsed="false">
      <c r="B7" s="12" t="s">
        <v>67</v>
      </c>
      <c r="C7" s="13" t="s">
        <v>68</v>
      </c>
      <c r="D7" s="13"/>
      <c r="E7" s="13"/>
      <c r="F7" s="13"/>
      <c r="G7" s="13"/>
      <c r="H7" s="13"/>
      <c r="I7" s="13"/>
      <c r="J7" s="13"/>
    </row>
    <row r="8" customFormat="false" ht="18" hidden="false" customHeight="true" outlineLevel="0" collapsed="false">
      <c r="B8" s="12" t="s">
        <v>69</v>
      </c>
      <c r="C8" s="13" t="s">
        <v>70</v>
      </c>
      <c r="D8" s="13"/>
      <c r="E8" s="13"/>
      <c r="F8" s="13"/>
      <c r="G8" s="13"/>
      <c r="H8" s="13"/>
      <c r="I8" s="13"/>
      <c r="J8" s="13"/>
    </row>
    <row r="9" customFormat="false" ht="18" hidden="false" customHeight="true" outlineLevel="0" collapsed="false">
      <c r="B9" s="12" t="s">
        <v>71</v>
      </c>
      <c r="C9" s="13" t="s">
        <v>72</v>
      </c>
      <c r="D9" s="13"/>
      <c r="E9" s="13"/>
      <c r="F9" s="13"/>
      <c r="G9" s="13"/>
      <c r="H9" s="13"/>
      <c r="I9" s="13"/>
      <c r="J9" s="13"/>
    </row>
    <row r="10" customFormat="false" ht="18" hidden="false" customHeight="true" outlineLevel="0" collapsed="false">
      <c r="B10" s="12" t="s">
        <v>73</v>
      </c>
      <c r="C10" s="13" t="n">
        <v>30</v>
      </c>
      <c r="D10" s="13"/>
      <c r="E10" s="13"/>
      <c r="F10" s="13"/>
      <c r="G10" s="13"/>
      <c r="H10" s="13"/>
      <c r="I10" s="13"/>
      <c r="J10" s="13"/>
    </row>
    <row r="11" customFormat="false" ht="7.5" hidden="false" customHeight="true" outlineLevel="0" collapsed="false"/>
    <row r="12" customFormat="false" ht="15" hidden="false" customHeight="true" outlineLevel="0" collapsed="false">
      <c r="B12" s="11" t="s">
        <v>74</v>
      </c>
      <c r="C12" s="11"/>
      <c r="D12" s="11"/>
      <c r="E12" s="11"/>
      <c r="F12" s="11"/>
      <c r="G12" s="11"/>
      <c r="H12" s="11"/>
      <c r="I12" s="11"/>
      <c r="J12" s="11"/>
    </row>
    <row r="13" customFormat="false" ht="36" hidden="false" customHeight="true" outlineLevel="0" collapsed="false">
      <c r="B13" s="14" t="s">
        <v>75</v>
      </c>
      <c r="C13" s="14" t="s">
        <v>76</v>
      </c>
      <c r="D13" s="14" t="s">
        <v>77</v>
      </c>
      <c r="E13" s="14" t="s">
        <v>78</v>
      </c>
      <c r="F13" s="14" t="s">
        <v>79</v>
      </c>
      <c r="G13" s="14" t="s">
        <v>80</v>
      </c>
      <c r="H13" s="14" t="s">
        <v>81</v>
      </c>
      <c r="I13" s="14" t="s">
        <v>82</v>
      </c>
      <c r="J13" s="14" t="s">
        <v>83</v>
      </c>
    </row>
    <row r="14" customFormat="false" ht="19.5" hidden="false" customHeight="true" outlineLevel="0" collapsed="false">
      <c r="B14" s="12" t="s">
        <v>84</v>
      </c>
      <c r="C14" s="15" t="s">
        <v>85</v>
      </c>
      <c r="D14" s="16" t="n">
        <v>4</v>
      </c>
      <c r="E14" s="17" t="n">
        <v>24</v>
      </c>
      <c r="F14" s="18" t="n">
        <v>72</v>
      </c>
      <c r="G14" s="19" t="n">
        <f aca="false">D14-E14</f>
        <v>-20</v>
      </c>
      <c r="H14" s="19" t="n">
        <f aca="false">F14-E14</f>
        <v>48</v>
      </c>
      <c r="I14" s="20" t="n">
        <f aca="false">F14-D14</f>
        <v>68</v>
      </c>
      <c r="J14" s="21" t="s">
        <v>86</v>
      </c>
    </row>
    <row r="15" customFormat="false" ht="19.5" hidden="false" customHeight="true" outlineLevel="0" collapsed="false">
      <c r="B15" s="22" t="s">
        <v>87</v>
      </c>
      <c r="C15" s="23" t="s">
        <v>85</v>
      </c>
      <c r="D15" s="24" t="n">
        <v>5000</v>
      </c>
      <c r="E15" s="17" t="n">
        <v>15000</v>
      </c>
      <c r="F15" s="25" t="n">
        <v>45000</v>
      </c>
      <c r="G15" s="26" t="n">
        <f aca="false">D15-E15</f>
        <v>-10000</v>
      </c>
      <c r="H15" s="26" t="n">
        <f aca="false">F15-E15</f>
        <v>30000</v>
      </c>
      <c r="I15" s="27" t="n">
        <f aca="false">F15-D15</f>
        <v>40000</v>
      </c>
      <c r="J15" s="28" t="s">
        <v>88</v>
      </c>
    </row>
    <row r="16" customFormat="false" ht="19.5" hidden="false" customHeight="true" outlineLevel="0" collapsed="false">
      <c r="B16" s="12" t="s">
        <v>89</v>
      </c>
      <c r="C16" s="15" t="s">
        <v>90</v>
      </c>
      <c r="D16" s="16" t="n">
        <v>10000</v>
      </c>
      <c r="E16" s="17" t="n">
        <v>50000</v>
      </c>
      <c r="F16" s="18" t="n">
        <v>200000</v>
      </c>
      <c r="G16" s="19" t="n">
        <f aca="false">D16-E16</f>
        <v>-40000</v>
      </c>
      <c r="H16" s="19" t="n">
        <f aca="false">F16-E16</f>
        <v>150000</v>
      </c>
      <c r="I16" s="20" t="n">
        <f aca="false">F16-D16</f>
        <v>190000</v>
      </c>
      <c r="J16" s="21" t="s">
        <v>91</v>
      </c>
    </row>
    <row r="17" customFormat="false" ht="19.5" hidden="false" customHeight="true" outlineLevel="0" collapsed="false">
      <c r="B17" s="22" t="s">
        <v>92</v>
      </c>
      <c r="C17" s="23" t="s">
        <v>85</v>
      </c>
      <c r="D17" s="24" t="n">
        <v>2000</v>
      </c>
      <c r="E17" s="17" t="n">
        <v>20000</v>
      </c>
      <c r="F17" s="25" t="n">
        <v>80000</v>
      </c>
      <c r="G17" s="26" t="n">
        <f aca="false">D17-E17</f>
        <v>-18000</v>
      </c>
      <c r="H17" s="26" t="n">
        <f aca="false">F17-E17</f>
        <v>60000</v>
      </c>
      <c r="I17" s="27" t="n">
        <f aca="false">F17-D17</f>
        <v>78000</v>
      </c>
      <c r="J17" s="28" t="s">
        <v>93</v>
      </c>
    </row>
    <row r="18" customFormat="false" ht="19.5" hidden="false" customHeight="true" outlineLevel="0" collapsed="false">
      <c r="B18" s="12" t="s">
        <v>94</v>
      </c>
      <c r="C18" s="15" t="s">
        <v>95</v>
      </c>
      <c r="D18" s="16" t="n">
        <v>0</v>
      </c>
      <c r="E18" s="17" t="n">
        <v>15000</v>
      </c>
      <c r="F18" s="18" t="n">
        <v>120000</v>
      </c>
      <c r="G18" s="19" t="n">
        <f aca="false">D18-E18</f>
        <v>-15000</v>
      </c>
      <c r="H18" s="19" t="n">
        <f aca="false">F18-E18</f>
        <v>105000</v>
      </c>
      <c r="I18" s="20" t="n">
        <f aca="false">F18-D18</f>
        <v>120000</v>
      </c>
      <c r="J18" s="21" t="s">
        <v>96</v>
      </c>
    </row>
    <row r="19" customFormat="false" ht="19.5" hidden="false" customHeight="true" outlineLevel="0" collapsed="false">
      <c r="B19" s="22" t="s">
        <v>97</v>
      </c>
      <c r="C19" s="23" t="s">
        <v>98</v>
      </c>
      <c r="D19" s="24" t="n">
        <v>1000</v>
      </c>
      <c r="E19" s="17" t="n">
        <v>8000</v>
      </c>
      <c r="F19" s="25" t="n">
        <v>35000</v>
      </c>
      <c r="G19" s="26" t="n">
        <f aca="false">D19-E19</f>
        <v>-7000</v>
      </c>
      <c r="H19" s="26" t="n">
        <f aca="false">F19-E19</f>
        <v>27000</v>
      </c>
      <c r="I19" s="27" t="n">
        <f aca="false">F19-D19</f>
        <v>34000</v>
      </c>
      <c r="J19" s="28" t="s">
        <v>99</v>
      </c>
    </row>
    <row r="20" customFormat="false" ht="19.5" hidden="false" customHeight="true" outlineLevel="0" collapsed="false">
      <c r="B20" s="12" t="s">
        <v>100</v>
      </c>
      <c r="C20" s="15" t="s">
        <v>101</v>
      </c>
      <c r="D20" s="16" t="n">
        <v>3000</v>
      </c>
      <c r="E20" s="17" t="n">
        <v>12000</v>
      </c>
      <c r="F20" s="18" t="n">
        <v>50000</v>
      </c>
      <c r="G20" s="19" t="n">
        <f aca="false">D20-E20</f>
        <v>-9000</v>
      </c>
      <c r="H20" s="19" t="n">
        <f aca="false">F20-E20</f>
        <v>38000</v>
      </c>
      <c r="I20" s="20" t="n">
        <f aca="false">F20-D20</f>
        <v>47000</v>
      </c>
      <c r="J20" s="21" t="s">
        <v>102</v>
      </c>
    </row>
    <row r="21" customFormat="false" ht="19.5" hidden="false" customHeight="true" outlineLevel="0" collapsed="false">
      <c r="B21" s="22" t="s">
        <v>103</v>
      </c>
      <c r="C21" s="23" t="s">
        <v>104</v>
      </c>
      <c r="D21" s="24" t="n">
        <v>0.5</v>
      </c>
      <c r="E21" s="17" t="n">
        <v>3</v>
      </c>
      <c r="F21" s="25" t="n">
        <v>15</v>
      </c>
      <c r="G21" s="26" t="n">
        <f aca="false">D21-E21</f>
        <v>-2.5</v>
      </c>
      <c r="H21" s="26" t="n">
        <f aca="false">F21-E21</f>
        <v>12</v>
      </c>
      <c r="I21" s="27" t="n">
        <f aca="false">F21-D21</f>
        <v>14.5</v>
      </c>
      <c r="J21" s="28" t="s">
        <v>105</v>
      </c>
    </row>
    <row r="22" customFormat="false" ht="19.5" hidden="false" customHeight="true" outlineLevel="0" collapsed="false">
      <c r="B22" s="12" t="s">
        <v>106</v>
      </c>
      <c r="C22" s="15" t="s">
        <v>90</v>
      </c>
      <c r="D22" s="16" t="n">
        <v>500</v>
      </c>
      <c r="E22" s="17" t="n">
        <v>5000</v>
      </c>
      <c r="F22" s="18" t="n">
        <v>20000</v>
      </c>
      <c r="G22" s="19" t="n">
        <f aca="false">D22-E22</f>
        <v>-4500</v>
      </c>
      <c r="H22" s="19" t="n">
        <f aca="false">F22-E22</f>
        <v>15000</v>
      </c>
      <c r="I22" s="20" t="n">
        <f aca="false">F22-D22</f>
        <v>19500</v>
      </c>
      <c r="J22" s="21" t="s">
        <v>107</v>
      </c>
    </row>
    <row r="23" customFormat="false" ht="19.5" hidden="false" customHeight="true" outlineLevel="0" collapsed="false">
      <c r="B23" s="22" t="s">
        <v>108</v>
      </c>
      <c r="C23" s="23" t="s">
        <v>109</v>
      </c>
      <c r="D23" s="24" t="n">
        <v>0</v>
      </c>
      <c r="E23" s="17" t="n">
        <v>25000</v>
      </c>
      <c r="F23" s="25" t="n">
        <v>500000</v>
      </c>
      <c r="G23" s="26" t="n">
        <f aca="false">D23-E23</f>
        <v>-25000</v>
      </c>
      <c r="H23" s="26" t="n">
        <f aca="false">F23-E23</f>
        <v>475000</v>
      </c>
      <c r="I23" s="27" t="n">
        <f aca="false">F23-D23</f>
        <v>500000</v>
      </c>
      <c r="J23" s="28" t="s">
        <v>110</v>
      </c>
    </row>
    <row r="24" customFormat="false" ht="19.5" hidden="false" customHeight="true" outlineLevel="0" collapsed="false">
      <c r="B24" s="12" t="s">
        <v>111</v>
      </c>
      <c r="C24" s="15" t="s">
        <v>101</v>
      </c>
      <c r="D24" s="16" t="n">
        <v>0</v>
      </c>
      <c r="E24" s="17" t="n">
        <v>30000</v>
      </c>
      <c r="F24" s="18" t="n">
        <v>150000</v>
      </c>
      <c r="G24" s="19" t="n">
        <f aca="false">D24-E24</f>
        <v>-30000</v>
      </c>
      <c r="H24" s="19" t="n">
        <f aca="false">F24-E24</f>
        <v>120000</v>
      </c>
      <c r="I24" s="20" t="n">
        <f aca="false">F24-D24</f>
        <v>150000</v>
      </c>
      <c r="J24" s="21" t="s">
        <v>112</v>
      </c>
    </row>
    <row r="25" customFormat="false" ht="19.5" hidden="false" customHeight="true" outlineLevel="0" collapsed="false">
      <c r="B25" s="22" t="s">
        <v>113</v>
      </c>
      <c r="C25" s="23" t="s">
        <v>95</v>
      </c>
      <c r="D25" s="24" t="n">
        <v>2000</v>
      </c>
      <c r="E25" s="17" t="n">
        <v>18000</v>
      </c>
      <c r="F25" s="25" t="n">
        <v>90000</v>
      </c>
      <c r="G25" s="26" t="n">
        <f aca="false">D25-E25</f>
        <v>-16000</v>
      </c>
      <c r="H25" s="26" t="n">
        <f aca="false">F25-E25</f>
        <v>72000</v>
      </c>
      <c r="I25" s="27" t="n">
        <f aca="false">F25-D25</f>
        <v>88000</v>
      </c>
      <c r="J25" s="28" t="s">
        <v>114</v>
      </c>
    </row>
    <row r="26" customFormat="false" ht="21.75" hidden="false" customHeight="true" outlineLevel="0" collapsed="false">
      <c r="B26" s="29" t="s">
        <v>115</v>
      </c>
      <c r="C26" s="29"/>
      <c r="D26" s="30" t="n">
        <f aca="false">SUM(D14:D25)</f>
        <v>23504.5</v>
      </c>
      <c r="E26" s="30" t="n">
        <f aca="false">SUM(E14:E25)</f>
        <v>198027</v>
      </c>
      <c r="F26" s="30" t="n">
        <f aca="false">SUM(F14:F25)</f>
        <v>1290087</v>
      </c>
      <c r="G26" s="30" t="n">
        <f aca="false">SUM(G14:G25)</f>
        <v>-174522.5</v>
      </c>
      <c r="H26" s="30" t="n">
        <f aca="false">SUM(H14:H25)</f>
        <v>1092060</v>
      </c>
      <c r="I26" s="30" t="n">
        <f aca="false">SUM(I14:I25)</f>
        <v>1266582.5</v>
      </c>
      <c r="J26" s="31"/>
    </row>
  </sheetData>
  <mergeCells count="10">
    <mergeCell ref="B2:J2"/>
    <mergeCell ref="B3:J3"/>
    <mergeCell ref="B5:J5"/>
    <mergeCell ref="C6:J6"/>
    <mergeCell ref="C7:J7"/>
    <mergeCell ref="C8:J8"/>
    <mergeCell ref="C9:J9"/>
    <mergeCell ref="C10:J10"/>
    <mergeCell ref="B12:J12"/>
    <mergeCell ref="B26:C26"/>
  </mergeCells>
  <conditionalFormatting sqref="G14:G25">
    <cfRule type="cellIs" priority="2" operator="lessThan" aboveAverage="0" equalAverage="0" bottom="0" percent="0" rank="0" text="" dxfId="0">
      <formula>0</formula>
    </cfRule>
  </conditionalFormatting>
  <conditionalFormatting sqref="H14:H25">
    <cfRule type="cellIs" priority="3" operator="greaterThan" aboveAverage="0" equalAverage="0" bottom="0" percent="0" rank="0" text="" dxfId="1">
      <formula>0</formula>
    </cfRule>
  </conditionalFormatting>
  <conditionalFormatting sqref="I14:I25">
    <cfRule type="colorScale" priority="4">
      <colorScale>
        <cfvo type="min" val="0"/>
        <cfvo type="max" val="0"/>
        <color rgb="FFDCF5F7"/>
        <color rgb="FF1B474D"/>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74D"/>
    <pageSetUpPr fitToPage="false"/>
  </sheetPr>
  <dimension ref="B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8" min="3" style="1" width="20"/>
  </cols>
  <sheetData>
    <row r="1" customFormat="false" ht="7.5" hidden="false" customHeight="true" outlineLevel="0" collapsed="false"/>
    <row r="2" customFormat="false" ht="31.5" hidden="false" customHeight="true" outlineLevel="0" collapsed="false">
      <c r="B2" s="9" t="s">
        <v>116</v>
      </c>
      <c r="C2" s="9"/>
      <c r="D2" s="9"/>
      <c r="E2" s="9"/>
      <c r="F2" s="9"/>
      <c r="G2" s="9"/>
      <c r="H2" s="9"/>
    </row>
    <row r="3" customFormat="false" ht="24" hidden="false" customHeight="true" outlineLevel="0" collapsed="false">
      <c r="B3" s="32" t="s">
        <v>117</v>
      </c>
      <c r="C3" s="32"/>
      <c r="D3" s="32"/>
      <c r="E3" s="32"/>
      <c r="F3" s="32"/>
      <c r="G3" s="32"/>
      <c r="H3" s="32"/>
    </row>
    <row r="4" customFormat="false" ht="7.5" hidden="false" customHeight="true" outlineLevel="0" collapsed="false"/>
    <row r="5" customFormat="false" ht="15" hidden="false" customHeight="true" outlineLevel="0" collapsed="false">
      <c r="B5" s="11" t="s">
        <v>118</v>
      </c>
      <c r="C5" s="11"/>
      <c r="D5" s="11"/>
      <c r="E5" s="11"/>
      <c r="F5" s="11"/>
      <c r="G5" s="11"/>
      <c r="H5" s="11"/>
    </row>
    <row r="6" customFormat="false" ht="19.5" hidden="false" customHeight="true" outlineLevel="0" collapsed="false">
      <c r="B6" s="12" t="s">
        <v>119</v>
      </c>
      <c r="C6" s="12"/>
      <c r="D6" s="12"/>
      <c r="E6" s="12"/>
      <c r="F6" s="33" t="n">
        <f aca="false">Dati_BIA!E26</f>
        <v>198027</v>
      </c>
      <c r="G6" s="33"/>
      <c r="H6" s="33"/>
    </row>
    <row r="7" customFormat="false" ht="19.5" hidden="false" customHeight="true" outlineLevel="0" collapsed="false">
      <c r="B7" s="12" t="s">
        <v>120</v>
      </c>
      <c r="C7" s="12"/>
      <c r="D7" s="12"/>
      <c r="E7" s="12"/>
      <c r="F7" s="33" t="n">
        <f aca="false">Dati_BIA!F26</f>
        <v>1290087</v>
      </c>
      <c r="G7" s="33"/>
      <c r="H7" s="33"/>
    </row>
    <row r="8" customFormat="false" ht="19.5" hidden="false" customHeight="true" outlineLevel="0" collapsed="false">
      <c r="B8" s="12" t="s">
        <v>121</v>
      </c>
      <c r="C8" s="12"/>
      <c r="D8" s="12"/>
      <c r="E8" s="12"/>
      <c r="F8" s="33" t="n">
        <f aca="false">Dati_BIA!D26</f>
        <v>23504.5</v>
      </c>
      <c r="G8" s="33"/>
      <c r="H8" s="33"/>
    </row>
    <row r="9" customFormat="false" ht="19.5" hidden="false" customHeight="true" outlineLevel="0" collapsed="false">
      <c r="B9" s="12" t="s">
        <v>122</v>
      </c>
      <c r="C9" s="12"/>
      <c r="D9" s="12"/>
      <c r="E9" s="12"/>
      <c r="F9" s="33" t="n">
        <f aca="false">F7-F6</f>
        <v>1092060</v>
      </c>
      <c r="G9" s="33"/>
      <c r="H9" s="33"/>
    </row>
    <row r="10" customFormat="false" ht="19.5" hidden="false" customHeight="true" outlineLevel="0" collapsed="false">
      <c r="B10" s="12" t="s">
        <v>123</v>
      </c>
      <c r="C10" s="12"/>
      <c r="D10" s="12"/>
      <c r="E10" s="12"/>
      <c r="F10" s="33" t="n">
        <f aca="false">F8-F6</f>
        <v>-174522.5</v>
      </c>
      <c r="G10" s="33"/>
      <c r="H10" s="33"/>
    </row>
    <row r="11" customFormat="false" ht="7.5" hidden="false" customHeight="true" outlineLevel="0" collapsed="false"/>
    <row r="12" customFormat="false" ht="15" hidden="false" customHeight="true" outlineLevel="0" collapsed="false">
      <c r="B12" s="11" t="s">
        <v>124</v>
      </c>
      <c r="C12" s="11"/>
      <c r="D12" s="11"/>
      <c r="E12" s="11"/>
      <c r="F12" s="11"/>
      <c r="G12" s="11"/>
      <c r="H12" s="11"/>
    </row>
    <row r="13" customFormat="false" ht="36" hidden="false" customHeight="true" outlineLevel="0" collapsed="false">
      <c r="B13" s="14" t="s">
        <v>125</v>
      </c>
      <c r="C13" s="14" t="s">
        <v>75</v>
      </c>
      <c r="D13" s="14" t="s">
        <v>126</v>
      </c>
      <c r="E13" s="14" t="s">
        <v>127</v>
      </c>
      <c r="F13" s="14" t="s">
        <v>82</v>
      </c>
      <c r="G13" s="14" t="s">
        <v>128</v>
      </c>
      <c r="H13" s="14" t="s">
        <v>129</v>
      </c>
    </row>
    <row r="14" customFormat="false" ht="19.5" hidden="false" customHeight="true" outlineLevel="0" collapsed="false">
      <c r="B14" s="34" t="n">
        <v>1</v>
      </c>
      <c r="C14" s="12" t="str">
        <f aca="false">IFERROR(INDEX(Dati_BIA!$B$14:$B$25,MATCH(LARGE(Dati_BIA!$I$14:$I$25,1),Dati_BIA!$I$14:$I$25,0)),"")</f>
        <v>Sanzioni Regolamentari (€)</v>
      </c>
      <c r="D14" s="16" t="n">
        <f aca="false">IFERROR(INDEX(Dati_BIA!$G$14:$G$25,MATCH(LARGE(Dati_BIA!$I$14:$I$25,1),Dati_BIA!$I$14:$I$25,0)),0)</f>
        <v>-25000</v>
      </c>
      <c r="E14" s="18" t="n">
        <f aca="false">IFERROR(INDEX(Dati_BIA!$H$14:$H$25,MATCH(LARGE(Dati_BIA!$I$14:$I$25,1),Dati_BIA!$I$14:$I$25,0)),0)</f>
        <v>475000</v>
      </c>
      <c r="F14" s="20" t="n">
        <f aca="false">IFERROR(LARGE(Dati_BIA!$I$14:$I$25,1),0)</f>
        <v>500000</v>
      </c>
      <c r="G14" s="35" t="n">
        <f aca="false">IFERROR(F14/Calcoli!$F$6,0)</f>
        <v>2.52490821958622</v>
      </c>
      <c r="H14" s="15" t="str">
        <f aca="false">IFERROR(IF(G14&gt;=0.5,"🔴 CRITICO",IF(G14&gt;=0.2,"🟠 ALTO",IF(G14&gt;=0.1,"🟡 MEDIO","🟢 BASSO"))),"—")</f>
        <v>🔴 CRITICO</v>
      </c>
    </row>
    <row r="15" customFormat="false" ht="19.5" hidden="false" customHeight="true" outlineLevel="0" collapsed="false">
      <c r="B15" s="36" t="n">
        <v>2</v>
      </c>
      <c r="C15" s="22" t="str">
        <f aca="false">IFERROR(INDEX(Dati_BIA!$B$14:$B$25,MATCH(LARGE(Dati_BIA!$I$14:$I$25,2),Dati_BIA!$I$14:$I$25,0)),"")</f>
        <v>Perdita di Ricavi Giornaliera (€)</v>
      </c>
      <c r="D15" s="24" t="n">
        <f aca="false">IFERROR(INDEX(Dati_BIA!$G$14:$G$25,MATCH(LARGE(Dati_BIA!$I$14:$I$25,2),Dati_BIA!$I$14:$I$25,0)),0)</f>
        <v>-40000</v>
      </c>
      <c r="E15" s="25" t="n">
        <f aca="false">IFERROR(INDEX(Dati_BIA!$H$14:$H$25,MATCH(LARGE(Dati_BIA!$I$14:$I$25,2),Dati_BIA!$I$14:$I$25,0)),0)</f>
        <v>150000</v>
      </c>
      <c r="F15" s="27" t="n">
        <f aca="false">IFERROR(LARGE(Dati_BIA!$I$14:$I$25,2),0)</f>
        <v>190000</v>
      </c>
      <c r="G15" s="37" t="n">
        <f aca="false">IFERROR(F15/Calcoli!$F$6,0)</f>
        <v>0.959465123442763</v>
      </c>
      <c r="H15" s="23" t="str">
        <f aca="false">IFERROR(IF(G15&gt;=0.5,"🔴 CRITICO",IF(G15&gt;=0.2,"🟠 ALTO",IF(G15&gt;=0.1,"🟡 MEDIO","🟢 BASSO"))),"—")</f>
        <v>🔴 CRITICO</v>
      </c>
    </row>
    <row r="16" customFormat="false" ht="19.5" hidden="false" customHeight="true" outlineLevel="0" collapsed="false">
      <c r="B16" s="34" t="n">
        <v>3</v>
      </c>
      <c r="C16" s="12" t="str">
        <f aca="false">IFERROR(INDEX(Dati_BIA!$B$14:$B$25,MATCH(LARGE(Dati_BIA!$I$14:$I$25,3),Dati_BIA!$I$14:$I$25,0)),"")</f>
        <v>Ripristino Infrastruttura Fisica (€)</v>
      </c>
      <c r="D16" s="16" t="n">
        <f aca="false">IFERROR(INDEX(Dati_BIA!$G$14:$G$25,MATCH(LARGE(Dati_BIA!$I$14:$I$25,3),Dati_BIA!$I$14:$I$25,0)),0)</f>
        <v>-30000</v>
      </c>
      <c r="E16" s="18" t="n">
        <f aca="false">IFERROR(INDEX(Dati_BIA!$H$14:$H$25,MATCH(LARGE(Dati_BIA!$I$14:$I$25,3),Dati_BIA!$I$14:$I$25,0)),0)</f>
        <v>120000</v>
      </c>
      <c r="F16" s="20" t="n">
        <f aca="false">IFERROR(LARGE(Dati_BIA!$I$14:$I$25,3),0)</f>
        <v>150000</v>
      </c>
      <c r="G16" s="35" t="n">
        <f aca="false">IFERROR(F16/Calcoli!$F$6,0)</f>
        <v>0.757472465875865</v>
      </c>
      <c r="H16" s="15" t="str">
        <f aca="false">IFERROR(IF(G16&gt;=0.5,"🔴 CRITICO",IF(G16&gt;=0.2,"🟠 ALTO",IF(G16&gt;=0.1,"🟡 MEDIO","🟢 BASSO"))),"—")</f>
        <v>🔴 CRITICO</v>
      </c>
    </row>
    <row r="17" customFormat="false" ht="19.5" hidden="false" customHeight="true" outlineLevel="0" collapsed="false">
      <c r="B17" s="36" t="n">
        <v>4</v>
      </c>
      <c r="C17" s="22" t="str">
        <f aca="false">IFERROR(INDEX(Dati_BIA!$B$14:$B$25,MATCH(LARGE(Dati_BIA!$I$14:$I$25,4),Dati_BIA!$I$14:$I$25,0)),"")</f>
        <v>Penali Contrattuali (€)</v>
      </c>
      <c r="D17" s="24" t="n">
        <f aca="false">IFERROR(INDEX(Dati_BIA!$G$14:$G$25,MATCH(LARGE(Dati_BIA!$I$14:$I$25,4),Dati_BIA!$I$14:$I$25,0)),0)</f>
        <v>-15000</v>
      </c>
      <c r="E17" s="25" t="n">
        <f aca="false">IFERROR(INDEX(Dati_BIA!$H$14:$H$25,MATCH(LARGE(Dati_BIA!$I$14:$I$25,4),Dati_BIA!$I$14:$I$25,0)),0)</f>
        <v>105000</v>
      </c>
      <c r="F17" s="27" t="n">
        <f aca="false">IFERROR(LARGE(Dati_BIA!$I$14:$I$25,4),0)</f>
        <v>120000</v>
      </c>
      <c r="G17" s="37" t="n">
        <f aca="false">IFERROR(F17/Calcoli!$F$6,0)</f>
        <v>0.605977972700692</v>
      </c>
      <c r="H17" s="23" t="str">
        <f aca="false">IFERROR(IF(G17&gt;=0.5,"🔴 CRITICO",IF(G17&gt;=0.2,"🟠 ALTO",IF(G17&gt;=0.1,"🟡 MEDIO","🟢 BASSO"))),"—")</f>
        <v>🔴 CRITICO</v>
      </c>
    </row>
    <row r="18" customFormat="false" ht="19.5" hidden="false" customHeight="true" outlineLevel="0" collapsed="false">
      <c r="B18" s="34" t="n">
        <v>5</v>
      </c>
      <c r="C18" s="12" t="str">
        <f aca="false">IFERROR(INDEX(Dati_BIA!$B$14:$B$25,MATCH(LARGE(Dati_BIA!$I$14:$I$25,5),Dati_BIA!$I$14:$I$25,0)),"")</f>
        <v>Costi Legali e Forensi (€)</v>
      </c>
      <c r="D18" s="16" t="n">
        <f aca="false">IFERROR(INDEX(Dati_BIA!$G$14:$G$25,MATCH(LARGE(Dati_BIA!$I$14:$I$25,5),Dati_BIA!$I$14:$I$25,0)),0)</f>
        <v>-16000</v>
      </c>
      <c r="E18" s="18" t="n">
        <f aca="false">IFERROR(INDEX(Dati_BIA!$H$14:$H$25,MATCH(LARGE(Dati_BIA!$I$14:$I$25,5),Dati_BIA!$I$14:$I$25,0)),0)</f>
        <v>72000</v>
      </c>
      <c r="F18" s="20" t="n">
        <f aca="false">IFERROR(LARGE(Dati_BIA!$I$14:$I$25,5),0)</f>
        <v>88000</v>
      </c>
      <c r="G18" s="35" t="n">
        <f aca="false">IFERROR(F18/Calcoli!$F$6,0)</f>
        <v>0.444383846647174</v>
      </c>
      <c r="H18" s="15" t="str">
        <f aca="false">IFERROR(IF(G18&gt;=0.5,"🔴 CRITICO",IF(G18&gt;=0.2,"🟠 ALTO",IF(G18&gt;=0.1,"🟡 MEDIO","🟢 BASSO"))),"—")</f>
        <v>🟠 ALTO</v>
      </c>
    </row>
    <row r="19" customFormat="false" ht="19.5" hidden="false" customHeight="true" outlineLevel="0" collapsed="false">
      <c r="B19" s="36" t="n">
        <v>6</v>
      </c>
      <c r="C19" s="22" t="str">
        <f aca="false">IFERROR(INDEX(Dati_BIA!$B$14:$B$25,MATCH(LARGE(Dati_BIA!$I$14:$I$25,6),Dati_BIA!$I$14:$I$25,0)),"")</f>
        <v>Costi di Recupero Dati (€)</v>
      </c>
      <c r="D19" s="24" t="n">
        <f aca="false">IFERROR(INDEX(Dati_BIA!$G$14:$G$25,MATCH(LARGE(Dati_BIA!$I$14:$I$25,6),Dati_BIA!$I$14:$I$25,0)),0)</f>
        <v>-18000</v>
      </c>
      <c r="E19" s="25" t="n">
        <f aca="false">IFERROR(INDEX(Dati_BIA!$H$14:$H$25,MATCH(LARGE(Dati_BIA!$I$14:$I$25,6),Dati_BIA!$I$14:$I$25,0)),0)</f>
        <v>60000</v>
      </c>
      <c r="F19" s="27" t="n">
        <f aca="false">IFERROR(LARGE(Dati_BIA!$I$14:$I$25,6),0)</f>
        <v>78000</v>
      </c>
      <c r="G19" s="37" t="n">
        <f aca="false">IFERROR(F19/Calcoli!$F$6,0)</f>
        <v>0.39388568225545</v>
      </c>
      <c r="H19" s="23" t="str">
        <f aca="false">IFERROR(IF(G19&gt;=0.5,"🔴 CRITICO",IF(G19&gt;=0.2,"🟠 ALTO",IF(G19&gt;=0.1,"🟡 MEDIO","🟢 BASSO"))),"—")</f>
        <v>🟠 ALTO</v>
      </c>
    </row>
    <row r="20" customFormat="false" ht="19.5" hidden="false" customHeight="true" outlineLevel="0" collapsed="false">
      <c r="B20" s="34" t="n">
        <v>7</v>
      </c>
      <c r="C20" s="12" t="str">
        <f aca="false">IFERROR(INDEX(Dati_BIA!$B$14:$B$25,MATCH(LARGE(Dati_BIA!$I$14:$I$25,7),Dati_BIA!$I$14:$I$25,0)),"")</f>
        <v>Personale Straordinario (€)</v>
      </c>
      <c r="D20" s="16" t="n">
        <f aca="false">IFERROR(INDEX(Dati_BIA!$G$14:$G$25,MATCH(LARGE(Dati_BIA!$I$14:$I$25,7),Dati_BIA!$I$14:$I$25,0)),0)</f>
        <v>-9000</v>
      </c>
      <c r="E20" s="18" t="n">
        <f aca="false">IFERROR(INDEX(Dati_BIA!$H$14:$H$25,MATCH(LARGE(Dati_BIA!$I$14:$I$25,7),Dati_BIA!$I$14:$I$25,0)),0)</f>
        <v>38000</v>
      </c>
      <c r="F20" s="20" t="n">
        <f aca="false">IFERROR(LARGE(Dati_BIA!$I$14:$I$25,7),0)</f>
        <v>47000</v>
      </c>
      <c r="G20" s="35" t="n">
        <f aca="false">IFERROR(F20/Calcoli!$F$6,0)</f>
        <v>0.237341372641105</v>
      </c>
      <c r="H20" s="15" t="str">
        <f aca="false">IFERROR(IF(G20&gt;=0.5,"🔴 CRITICO",IF(G20&gt;=0.2,"🟠 ALTO",IF(G20&gt;=0.1,"🟡 MEDIO","🟢 BASSO"))),"—")</f>
        <v>🟠 ALTO</v>
      </c>
    </row>
    <row r="21" customFormat="false" ht="19.5" hidden="false" customHeight="true" outlineLevel="0" collapsed="false">
      <c r="B21" s="36" t="n">
        <v>8</v>
      </c>
      <c r="C21" s="22" t="str">
        <f aca="false">IFERROR(INDEX(Dati_BIA!$B$14:$B$25,MATCH(LARGE(Dati_BIA!$I$14:$I$25,8),Dati_BIA!$I$14:$I$25,0)),"")</f>
        <v>Costo per Ora di Downtime (€)</v>
      </c>
      <c r="D21" s="24" t="n">
        <f aca="false">IFERROR(INDEX(Dati_BIA!$G$14:$G$25,MATCH(LARGE(Dati_BIA!$I$14:$I$25,8),Dati_BIA!$I$14:$I$25,0)),0)</f>
        <v>-10000</v>
      </c>
      <c r="E21" s="25" t="n">
        <f aca="false">IFERROR(INDEX(Dati_BIA!$H$14:$H$25,MATCH(LARGE(Dati_BIA!$I$14:$I$25,8),Dati_BIA!$I$14:$I$25,0)),0)</f>
        <v>30000</v>
      </c>
      <c r="F21" s="27" t="n">
        <f aca="false">IFERROR(LARGE(Dati_BIA!$I$14:$I$25,8),0)</f>
        <v>40000</v>
      </c>
      <c r="G21" s="37" t="n">
        <f aca="false">IFERROR(F21/Calcoli!$F$6,0)</f>
        <v>0.201992657566897</v>
      </c>
      <c r="H21" s="23" t="str">
        <f aca="false">IFERROR(IF(G21&gt;=0.5,"🔴 CRITICO",IF(G21&gt;=0.2,"🟠 ALTO",IF(G21&gt;=0.1,"🟡 MEDIO","🟢 BASSO"))),"—")</f>
        <v>🟠 ALTO</v>
      </c>
    </row>
    <row r="22" customFormat="false" ht="19.5" hidden="false" customHeight="true" outlineLevel="0" collapsed="false">
      <c r="B22" s="34" t="n">
        <v>9</v>
      </c>
      <c r="C22" s="12" t="str">
        <f aca="false">IFERROR(INDEX(Dati_BIA!$B$14:$B$25,MATCH(LARGE(Dati_BIA!$I$14:$I$25,9),Dati_BIA!$I$14:$I$25,0)),"")</f>
        <v>Costi di Comunicazione Crisi (€)</v>
      </c>
      <c r="D22" s="16" t="n">
        <f aca="false">IFERROR(INDEX(Dati_BIA!$G$14:$G$25,MATCH(LARGE(Dati_BIA!$I$14:$I$25,9),Dati_BIA!$I$14:$I$25,0)),0)</f>
        <v>-7000</v>
      </c>
      <c r="E22" s="18" t="n">
        <f aca="false">IFERROR(INDEX(Dati_BIA!$H$14:$H$25,MATCH(LARGE(Dati_BIA!$I$14:$I$25,9),Dati_BIA!$I$14:$I$25,0)),0)</f>
        <v>27000</v>
      </c>
      <c r="F22" s="20" t="n">
        <f aca="false">IFERROR(LARGE(Dati_BIA!$I$14:$I$25,9),0)</f>
        <v>34000</v>
      </c>
      <c r="G22" s="35" t="n">
        <f aca="false">IFERROR(F22/Calcoli!$F$6,0)</f>
        <v>0.171693758931863</v>
      </c>
      <c r="H22" s="15" t="str">
        <f aca="false">IFERROR(IF(G22&gt;=0.5,"🔴 CRITICO",IF(G22&gt;=0.2,"🟠 ALTO",IF(G22&gt;=0.1,"🟡 MEDIO","🟢 BASSO"))),"—")</f>
        <v>🟡 MEDIO</v>
      </c>
    </row>
    <row r="23" customFormat="false" ht="19.5" hidden="false" customHeight="true" outlineLevel="0" collapsed="false">
      <c r="B23" s="36" t="n">
        <v>10</v>
      </c>
      <c r="C23" s="22" t="str">
        <f aca="false">IFERROR(INDEX(Dati_BIA!$B$14:$B$25,MATCH(LARGE(Dati_BIA!$I$14:$I$25,10),Dati_BIA!$I$14:$I$25,0)),"")</f>
        <v>Costi Assicurativi Aggiuntivi (€)</v>
      </c>
      <c r="D23" s="24" t="n">
        <f aca="false">IFERROR(INDEX(Dati_BIA!$G$14:$G$25,MATCH(LARGE(Dati_BIA!$I$14:$I$25,10),Dati_BIA!$I$14:$I$25,0)),0)</f>
        <v>-4500</v>
      </c>
      <c r="E23" s="25" t="n">
        <f aca="false">IFERROR(INDEX(Dati_BIA!$H$14:$H$25,MATCH(LARGE(Dati_BIA!$I$14:$I$25,10),Dati_BIA!$I$14:$I$25,0)),0)</f>
        <v>15000</v>
      </c>
      <c r="F23" s="27" t="n">
        <f aca="false">IFERROR(LARGE(Dati_BIA!$I$14:$I$25,10),0)</f>
        <v>19500</v>
      </c>
      <c r="G23" s="37" t="n">
        <f aca="false">IFERROR(F23/Calcoli!$F$6,0)</f>
        <v>0.0984714205638625</v>
      </c>
      <c r="H23" s="23" t="str">
        <f aca="false">IFERROR(IF(G23&gt;=0.5,"🔴 CRITICO",IF(G23&gt;=0.2,"🟠 ALTO",IF(G23&gt;=0.1,"🟡 MEDIO","🟢 BASSO"))),"—")</f>
        <v>🟢 BASSO</v>
      </c>
    </row>
    <row r="24" customFormat="false" ht="19.5" hidden="false" customHeight="true" outlineLevel="0" collapsed="false">
      <c r="B24" s="34" t="n">
        <v>11</v>
      </c>
      <c r="C24" s="12" t="str">
        <f aca="false">IFERROR(INDEX(Dati_BIA!$B$14:$B$25,MATCH(LARGE(Dati_BIA!$I$14:$I$25,11),Dati_BIA!$I$14:$I$25,0)),"")</f>
        <v>Ore di Downtime Sistemi IT</v>
      </c>
      <c r="D24" s="16" t="n">
        <f aca="false">IFERROR(INDEX(Dati_BIA!$G$14:$G$25,MATCH(LARGE(Dati_BIA!$I$14:$I$25,11),Dati_BIA!$I$14:$I$25,0)),0)</f>
        <v>-20</v>
      </c>
      <c r="E24" s="18" t="n">
        <f aca="false">IFERROR(INDEX(Dati_BIA!$H$14:$H$25,MATCH(LARGE(Dati_BIA!$I$14:$I$25,11),Dati_BIA!$I$14:$I$25,0)),0)</f>
        <v>48</v>
      </c>
      <c r="F24" s="20" t="n">
        <f aca="false">IFERROR(LARGE(Dati_BIA!$I$14:$I$25,11),0)</f>
        <v>68</v>
      </c>
      <c r="G24" s="35" t="n">
        <f aca="false">IFERROR(F24/Calcoli!$F$6,0)</f>
        <v>0.000343387517863726</v>
      </c>
      <c r="H24" s="15" t="str">
        <f aca="false">IFERROR(IF(G24&gt;=0.5,"🔴 CRITICO",IF(G24&gt;=0.2,"🟠 ALTO",IF(G24&gt;=0.1,"🟡 MEDIO","🟢 BASSO"))),"—")</f>
        <v>🟢 BASSO</v>
      </c>
    </row>
    <row r="25" customFormat="false" ht="19.5" hidden="false" customHeight="true" outlineLevel="0" collapsed="false">
      <c r="B25" s="36" t="n">
        <v>12</v>
      </c>
      <c r="C25" s="22" t="str">
        <f aca="false">IFERROR(INDEX(Dati_BIA!$B$14:$B$25,MATCH(LARGE(Dati_BIA!$I$14:$I$25,12),Dati_BIA!$I$14:$I$25,0)),"")</f>
        <v>Perdita Clienti Stimata (%)</v>
      </c>
      <c r="D25" s="24" t="n">
        <f aca="false">IFERROR(INDEX(Dati_BIA!$G$14:$G$25,MATCH(LARGE(Dati_BIA!$I$14:$I$25,12),Dati_BIA!$I$14:$I$25,0)),0)</f>
        <v>-2.5</v>
      </c>
      <c r="E25" s="25" t="n">
        <f aca="false">IFERROR(INDEX(Dati_BIA!$H$14:$H$25,MATCH(LARGE(Dati_BIA!$I$14:$I$25,12),Dati_BIA!$I$14:$I$25,0)),0)</f>
        <v>12</v>
      </c>
      <c r="F25" s="27" t="n">
        <f aca="false">IFERROR(LARGE(Dati_BIA!$I$14:$I$25,12),0)</f>
        <v>14.5</v>
      </c>
      <c r="G25" s="37" t="n">
        <f aca="false">IFERROR(F25/Calcoli!$F$6,0)</f>
        <v>7.32223383680003E-005</v>
      </c>
      <c r="H25" s="23" t="str">
        <f aca="false">IFERROR(IF(G25&gt;=0.5,"🔴 CRITICO",IF(G25&gt;=0.2,"🟠 ALTO",IF(G25&gt;=0.1,"🟡 MEDIO","🟢 BASSO"))),"—")</f>
        <v>🟢 BASSO</v>
      </c>
    </row>
    <row r="27" customFormat="false" ht="15" hidden="false" customHeight="true" outlineLevel="0" collapsed="false">
      <c r="B27" s="11" t="s">
        <v>130</v>
      </c>
      <c r="C27" s="11"/>
      <c r="D27" s="11"/>
      <c r="E27" s="11"/>
      <c r="F27" s="11"/>
      <c r="G27" s="11"/>
      <c r="H27" s="11"/>
    </row>
    <row r="28" customFormat="false" ht="60" hidden="false" customHeight="true" outlineLevel="0" collapsed="false">
      <c r="B28" s="8" t="s">
        <v>131</v>
      </c>
      <c r="C28" s="8"/>
      <c r="D28" s="8"/>
      <c r="E28" s="8"/>
      <c r="F28" s="8"/>
      <c r="G28" s="8"/>
      <c r="H28" s="8"/>
    </row>
  </sheetData>
  <mergeCells count="16">
    <mergeCell ref="B2:H2"/>
    <mergeCell ref="B3:H3"/>
    <mergeCell ref="B5:H5"/>
    <mergeCell ref="B6:E6"/>
    <mergeCell ref="F6:H6"/>
    <mergeCell ref="B7:E7"/>
    <mergeCell ref="F7:H7"/>
    <mergeCell ref="B8:E8"/>
    <mergeCell ref="F8:H8"/>
    <mergeCell ref="B9:E9"/>
    <mergeCell ref="F9:H9"/>
    <mergeCell ref="B10:E10"/>
    <mergeCell ref="F10:H10"/>
    <mergeCell ref="B12:H12"/>
    <mergeCell ref="B27:H27"/>
    <mergeCell ref="B28:H28"/>
  </mergeCells>
  <conditionalFormatting sqref="D14:D25">
    <cfRule type="cellIs" priority="2" operator="lessThan" aboveAverage="0" equalAverage="0" bottom="0" percent="0" rank="0" text="" dxfId="0">
      <formula>0</formula>
    </cfRule>
  </conditionalFormatting>
  <conditionalFormatting sqref="E14:E25">
    <cfRule type="cellIs" priority="3" operator="greaterThan" aboveAverage="0" equalAverage="0" bottom="0" percent="0" rank="0" text="" dxfId="1">
      <formula>0</formula>
    </cfRule>
  </conditionalFormatting>
  <conditionalFormatting sqref="F14:F25">
    <cfRule type="colorScale" priority="4">
      <colorScale>
        <cfvo type="min" val="0"/>
        <cfvo type="max" val="0"/>
        <color rgb="FFFFFFFF"/>
        <color rgb="FF1B474D"/>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3544"/>
    <pageSetUpPr fitToPage="false"/>
  </sheetPr>
  <dimension ref="B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7" min="3" style="1" width="18"/>
  </cols>
  <sheetData>
    <row r="1" customFormat="false" ht="7.5" hidden="false" customHeight="true" outlineLevel="0" collapsed="false"/>
    <row r="2" customFormat="false" ht="31.5" hidden="false" customHeight="true" outlineLevel="0" collapsed="false">
      <c r="B2" s="9" t="s">
        <v>132</v>
      </c>
      <c r="C2" s="9"/>
      <c r="D2" s="9"/>
      <c r="E2" s="9"/>
      <c r="F2" s="9"/>
      <c r="G2" s="9"/>
    </row>
    <row r="3" customFormat="false" ht="24" hidden="false" customHeight="true" outlineLevel="0" collapsed="false">
      <c r="B3" s="32" t="s">
        <v>133</v>
      </c>
      <c r="C3" s="32"/>
      <c r="D3" s="32"/>
      <c r="E3" s="32"/>
      <c r="F3" s="32"/>
      <c r="G3" s="32"/>
    </row>
    <row r="4" customFormat="false" ht="7.5" hidden="false" customHeight="true" outlineLevel="0" collapsed="false"/>
    <row r="5" customFormat="false" ht="15" hidden="false" customHeight="true" outlineLevel="0" collapsed="false">
      <c r="B5" s="11" t="s">
        <v>134</v>
      </c>
      <c r="C5" s="11"/>
      <c r="D5" s="11"/>
      <c r="E5" s="11"/>
      <c r="F5" s="11"/>
      <c r="G5" s="11"/>
    </row>
    <row r="6" customFormat="false" ht="36" hidden="false" customHeight="true" outlineLevel="0" collapsed="false">
      <c r="B6" s="14" t="s">
        <v>135</v>
      </c>
      <c r="C6" s="14" t="s">
        <v>136</v>
      </c>
      <c r="D6" s="14" t="s">
        <v>137</v>
      </c>
      <c r="E6" s="14" t="s">
        <v>138</v>
      </c>
      <c r="F6" s="14" t="s">
        <v>139</v>
      </c>
      <c r="G6" s="14" t="s">
        <v>140</v>
      </c>
    </row>
    <row r="7" customFormat="false" ht="19.5" hidden="false" customHeight="true" outlineLevel="0" collapsed="false">
      <c r="B7" s="12" t="str">
        <f aca="false">IFERROR(Calcoli!C14,"")</f>
        <v>Sanzioni Regolamentari (€)</v>
      </c>
      <c r="C7" s="16" t="n">
        <f aca="false">IFERROR(Calcoli!D14,0)</f>
        <v>-25000</v>
      </c>
      <c r="D7" s="18" t="n">
        <f aca="false">IFERROR(Calcoli!E14,0)</f>
        <v>475000</v>
      </c>
      <c r="E7" s="20" t="n">
        <f aca="false">IFERROR(Calcoli!F14,0)</f>
        <v>500000</v>
      </c>
      <c r="F7" s="38" t="n">
        <f aca="false">IFERROR(INDEX(Dati_BIA!$E$14:$E$25,MATCH(Calcoli!C14,Dati_BIA!$B$14:$B$25,0)),0)</f>
        <v>25000</v>
      </c>
      <c r="G7" s="35" t="n">
        <f aca="false">IFERROR(Calcoli!G14,0)</f>
        <v>2.52490821958622</v>
      </c>
    </row>
    <row r="8" customFormat="false" ht="19.5" hidden="false" customHeight="true" outlineLevel="0" collapsed="false">
      <c r="B8" s="22" t="str">
        <f aca="false">IFERROR(Calcoli!C15,"")</f>
        <v>Perdita di Ricavi Giornaliera (€)</v>
      </c>
      <c r="C8" s="24" t="n">
        <f aca="false">IFERROR(Calcoli!D15,0)</f>
        <v>-40000</v>
      </c>
      <c r="D8" s="25" t="n">
        <f aca="false">IFERROR(Calcoli!E15,0)</f>
        <v>150000</v>
      </c>
      <c r="E8" s="27" t="n">
        <f aca="false">IFERROR(Calcoli!F15,0)</f>
        <v>190000</v>
      </c>
      <c r="F8" s="38" t="n">
        <f aca="false">IFERROR(INDEX(Dati_BIA!$E$14:$E$25,MATCH(Calcoli!C15,Dati_BIA!$B$14:$B$25,0)),0)</f>
        <v>50000</v>
      </c>
      <c r="G8" s="37" t="n">
        <f aca="false">IFERROR(Calcoli!G15,0)</f>
        <v>0.959465123442763</v>
      </c>
    </row>
    <row r="9" customFormat="false" ht="19.5" hidden="false" customHeight="true" outlineLevel="0" collapsed="false">
      <c r="B9" s="12" t="str">
        <f aca="false">IFERROR(Calcoli!C16,"")</f>
        <v>Ripristino Infrastruttura Fisica (€)</v>
      </c>
      <c r="C9" s="16" t="n">
        <f aca="false">IFERROR(Calcoli!D16,0)</f>
        <v>-30000</v>
      </c>
      <c r="D9" s="18" t="n">
        <f aca="false">IFERROR(Calcoli!E16,0)</f>
        <v>120000</v>
      </c>
      <c r="E9" s="20" t="n">
        <f aca="false">IFERROR(Calcoli!F16,0)</f>
        <v>150000</v>
      </c>
      <c r="F9" s="38" t="n">
        <f aca="false">IFERROR(INDEX(Dati_BIA!$E$14:$E$25,MATCH(Calcoli!C16,Dati_BIA!$B$14:$B$25,0)),0)</f>
        <v>30000</v>
      </c>
      <c r="G9" s="35" t="n">
        <f aca="false">IFERROR(Calcoli!G16,0)</f>
        <v>0.757472465875865</v>
      </c>
    </row>
    <row r="10" customFormat="false" ht="19.5" hidden="false" customHeight="true" outlineLevel="0" collapsed="false">
      <c r="B10" s="22" t="str">
        <f aca="false">IFERROR(Calcoli!C17,"")</f>
        <v>Penali Contrattuali (€)</v>
      </c>
      <c r="C10" s="24" t="n">
        <f aca="false">IFERROR(Calcoli!D17,0)</f>
        <v>-15000</v>
      </c>
      <c r="D10" s="25" t="n">
        <f aca="false">IFERROR(Calcoli!E17,0)</f>
        <v>105000</v>
      </c>
      <c r="E10" s="27" t="n">
        <f aca="false">IFERROR(Calcoli!F17,0)</f>
        <v>120000</v>
      </c>
      <c r="F10" s="38" t="n">
        <f aca="false">IFERROR(INDEX(Dati_BIA!$E$14:$E$25,MATCH(Calcoli!C17,Dati_BIA!$B$14:$B$25,0)),0)</f>
        <v>15000</v>
      </c>
      <c r="G10" s="37" t="n">
        <f aca="false">IFERROR(Calcoli!G17,0)</f>
        <v>0.605977972700692</v>
      </c>
    </row>
    <row r="11" customFormat="false" ht="19.5" hidden="false" customHeight="true" outlineLevel="0" collapsed="false">
      <c r="B11" s="12" t="str">
        <f aca="false">IFERROR(Calcoli!C18,"")</f>
        <v>Costi Legali e Forensi (€)</v>
      </c>
      <c r="C11" s="16" t="n">
        <f aca="false">IFERROR(Calcoli!D18,0)</f>
        <v>-16000</v>
      </c>
      <c r="D11" s="18" t="n">
        <f aca="false">IFERROR(Calcoli!E18,0)</f>
        <v>72000</v>
      </c>
      <c r="E11" s="20" t="n">
        <f aca="false">IFERROR(Calcoli!F18,0)</f>
        <v>88000</v>
      </c>
      <c r="F11" s="38" t="n">
        <f aca="false">IFERROR(INDEX(Dati_BIA!$E$14:$E$25,MATCH(Calcoli!C18,Dati_BIA!$B$14:$B$25,0)),0)</f>
        <v>18000</v>
      </c>
      <c r="G11" s="35" t="n">
        <f aca="false">IFERROR(Calcoli!G18,0)</f>
        <v>0.444383846647174</v>
      </c>
    </row>
    <row r="12" customFormat="false" ht="19.5" hidden="false" customHeight="true" outlineLevel="0" collapsed="false">
      <c r="B12" s="22" t="str">
        <f aca="false">IFERROR(Calcoli!C19,"")</f>
        <v>Costi di Recupero Dati (€)</v>
      </c>
      <c r="C12" s="24" t="n">
        <f aca="false">IFERROR(Calcoli!D19,0)</f>
        <v>-18000</v>
      </c>
      <c r="D12" s="25" t="n">
        <f aca="false">IFERROR(Calcoli!E19,0)</f>
        <v>60000</v>
      </c>
      <c r="E12" s="27" t="n">
        <f aca="false">IFERROR(Calcoli!F19,0)</f>
        <v>78000</v>
      </c>
      <c r="F12" s="38" t="n">
        <f aca="false">IFERROR(INDEX(Dati_BIA!$E$14:$E$25,MATCH(Calcoli!C19,Dati_BIA!$B$14:$B$25,0)),0)</f>
        <v>20000</v>
      </c>
      <c r="G12" s="37" t="n">
        <f aca="false">IFERROR(Calcoli!G19,0)</f>
        <v>0.39388568225545</v>
      </c>
    </row>
    <row r="13" customFormat="false" ht="19.5" hidden="false" customHeight="true" outlineLevel="0" collapsed="false">
      <c r="B13" s="12" t="str">
        <f aca="false">IFERROR(Calcoli!C20,"")</f>
        <v>Personale Straordinario (€)</v>
      </c>
      <c r="C13" s="16" t="n">
        <f aca="false">IFERROR(Calcoli!D20,0)</f>
        <v>-9000</v>
      </c>
      <c r="D13" s="18" t="n">
        <f aca="false">IFERROR(Calcoli!E20,0)</f>
        <v>38000</v>
      </c>
      <c r="E13" s="20" t="n">
        <f aca="false">IFERROR(Calcoli!F20,0)</f>
        <v>47000</v>
      </c>
      <c r="F13" s="38" t="n">
        <f aca="false">IFERROR(INDEX(Dati_BIA!$E$14:$E$25,MATCH(Calcoli!C20,Dati_BIA!$B$14:$B$25,0)),0)</f>
        <v>12000</v>
      </c>
      <c r="G13" s="35" t="n">
        <f aca="false">IFERROR(Calcoli!G20,0)</f>
        <v>0.237341372641105</v>
      </c>
    </row>
    <row r="14" customFormat="false" ht="19.5" hidden="false" customHeight="true" outlineLevel="0" collapsed="false">
      <c r="B14" s="22" t="str">
        <f aca="false">IFERROR(Calcoli!C21,"")</f>
        <v>Costo per Ora di Downtime (€)</v>
      </c>
      <c r="C14" s="24" t="n">
        <f aca="false">IFERROR(Calcoli!D21,0)</f>
        <v>-10000</v>
      </c>
      <c r="D14" s="25" t="n">
        <f aca="false">IFERROR(Calcoli!E21,0)</f>
        <v>30000</v>
      </c>
      <c r="E14" s="27" t="n">
        <f aca="false">IFERROR(Calcoli!F21,0)</f>
        <v>40000</v>
      </c>
      <c r="F14" s="38" t="n">
        <f aca="false">IFERROR(INDEX(Dati_BIA!$E$14:$E$25,MATCH(Calcoli!C21,Dati_BIA!$B$14:$B$25,0)),0)</f>
        <v>15000</v>
      </c>
      <c r="G14" s="37" t="n">
        <f aca="false">IFERROR(Calcoli!G21,0)</f>
        <v>0.201992657566897</v>
      </c>
    </row>
    <row r="15" customFormat="false" ht="19.5" hidden="false" customHeight="true" outlineLevel="0" collapsed="false">
      <c r="B15" s="12" t="str">
        <f aca="false">IFERROR(Calcoli!C22,"")</f>
        <v>Costi di Comunicazione Crisi (€)</v>
      </c>
      <c r="C15" s="16" t="n">
        <f aca="false">IFERROR(Calcoli!D22,0)</f>
        <v>-7000</v>
      </c>
      <c r="D15" s="18" t="n">
        <f aca="false">IFERROR(Calcoli!E22,0)</f>
        <v>27000</v>
      </c>
      <c r="E15" s="20" t="n">
        <f aca="false">IFERROR(Calcoli!F22,0)</f>
        <v>34000</v>
      </c>
      <c r="F15" s="38" t="n">
        <f aca="false">IFERROR(INDEX(Dati_BIA!$E$14:$E$25,MATCH(Calcoli!C22,Dati_BIA!$B$14:$B$25,0)),0)</f>
        <v>8000</v>
      </c>
      <c r="G15" s="35" t="n">
        <f aca="false">IFERROR(Calcoli!G22,0)</f>
        <v>0.171693758931863</v>
      </c>
    </row>
    <row r="16" customFormat="false" ht="19.5" hidden="false" customHeight="true" outlineLevel="0" collapsed="false">
      <c r="B16" s="22" t="str">
        <f aca="false">IFERROR(Calcoli!C23,"")</f>
        <v>Costi Assicurativi Aggiuntivi (€)</v>
      </c>
      <c r="C16" s="24" t="n">
        <f aca="false">IFERROR(Calcoli!D23,0)</f>
        <v>-4500</v>
      </c>
      <c r="D16" s="25" t="n">
        <f aca="false">IFERROR(Calcoli!E23,0)</f>
        <v>15000</v>
      </c>
      <c r="E16" s="27" t="n">
        <f aca="false">IFERROR(Calcoli!F23,0)</f>
        <v>19500</v>
      </c>
      <c r="F16" s="38" t="n">
        <f aca="false">IFERROR(INDEX(Dati_BIA!$E$14:$E$25,MATCH(Calcoli!C23,Dati_BIA!$B$14:$B$25,0)),0)</f>
        <v>5000</v>
      </c>
      <c r="G16" s="37" t="n">
        <f aca="false">IFERROR(Calcoli!G23,0)</f>
        <v>0.0984714205638625</v>
      </c>
    </row>
    <row r="17" customFormat="false" ht="19.5" hidden="false" customHeight="true" outlineLevel="0" collapsed="false">
      <c r="B17" s="12" t="str">
        <f aca="false">IFERROR(Calcoli!C24,"")</f>
        <v>Ore di Downtime Sistemi IT</v>
      </c>
      <c r="C17" s="16" t="n">
        <f aca="false">IFERROR(Calcoli!D24,0)</f>
        <v>-20</v>
      </c>
      <c r="D17" s="18" t="n">
        <f aca="false">IFERROR(Calcoli!E24,0)</f>
        <v>48</v>
      </c>
      <c r="E17" s="20" t="n">
        <f aca="false">IFERROR(Calcoli!F24,0)</f>
        <v>68</v>
      </c>
      <c r="F17" s="38" t="n">
        <f aca="false">IFERROR(INDEX(Dati_BIA!$E$14:$E$25,MATCH(Calcoli!C24,Dati_BIA!$B$14:$B$25,0)),0)</f>
        <v>24</v>
      </c>
      <c r="G17" s="35" t="n">
        <f aca="false">IFERROR(Calcoli!G24,0)</f>
        <v>0.000343387517863726</v>
      </c>
    </row>
    <row r="18" customFormat="false" ht="19.5" hidden="false" customHeight="true" outlineLevel="0" collapsed="false">
      <c r="B18" s="22" t="str">
        <f aca="false">IFERROR(Calcoli!C25,"")</f>
        <v>Perdita Clienti Stimata (%)</v>
      </c>
      <c r="C18" s="24" t="n">
        <f aca="false">IFERROR(Calcoli!D25,0)</f>
        <v>-2.5</v>
      </c>
      <c r="D18" s="25" t="n">
        <f aca="false">IFERROR(Calcoli!E25,0)</f>
        <v>12</v>
      </c>
      <c r="E18" s="27" t="n">
        <f aca="false">IFERROR(Calcoli!F25,0)</f>
        <v>14.5</v>
      </c>
      <c r="F18" s="38" t="n">
        <f aca="false">IFERROR(INDEX(Dati_BIA!$E$14:$E$25,MATCH(Calcoli!C25,Dati_BIA!$B$14:$B$25,0)),0)</f>
        <v>3</v>
      </c>
      <c r="G18" s="37" t="n">
        <f aca="false">IFERROR(Calcoli!G25,0)</f>
        <v>7.32223383680003E-005</v>
      </c>
    </row>
    <row r="19" customFormat="false" ht="19.5" hidden="false" customHeight="true" outlineLevel="0" collapsed="false">
      <c r="B19" s="39" t="s">
        <v>141</v>
      </c>
      <c r="C19" s="39"/>
      <c r="D19" s="39"/>
      <c r="E19" s="39"/>
      <c r="F19" s="39"/>
      <c r="G19" s="39"/>
    </row>
    <row r="20" customFormat="false" ht="19.5" hidden="false" customHeight="true" outlineLevel="0" collapsed="false">
      <c r="B20" s="40" t="s">
        <v>142</v>
      </c>
      <c r="C20" s="40"/>
      <c r="D20" s="40"/>
      <c r="E20" s="40"/>
      <c r="F20" s="40"/>
      <c r="G20" s="40"/>
    </row>
  </sheetData>
  <mergeCells count="5">
    <mergeCell ref="B2:G2"/>
    <mergeCell ref="B3:G3"/>
    <mergeCell ref="B5:G5"/>
    <mergeCell ref="B19:G19"/>
    <mergeCell ref="B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2026-06-27T06:18:01Z</dcterms:created>
  <dc:creator>openpyxl</dc:creator>
  <dc:description/>
  <dc:language>en-US</dc:language>
  <cp:lastModifiedBy/>
  <dcterms:modified xsi:type="dcterms:W3CDTF">2026-06-27T06:21:08Z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