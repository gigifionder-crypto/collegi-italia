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ti BIA" sheetId="1" state="visible" r:id="rId3"/>
    <sheet name="⚙️ Calcoli Tornado" sheetId="2" state="visible" r:id="rId4"/>
    <sheet name="🌪️ Tornado Diagram" sheetId="3" state="visible" r:id="rId5"/>
    <sheet name="📋 Istruzioni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<sst xmlns="http://schemas.openxmlformats.org/spreadsheetml/2006/main" count="114" uniqueCount="104">
  <si>
    <t xml:space="preserve">BUSINESS IMPACT ANALYSIS — VARIABILI DI RISCHIO</t>
  </si>
  <si>
    <t xml:space="preserve">Inserisci i valori di ogni variabile: nominale (baseline), minimo (scenario peggiore) e massimo (scenario migliore)</t>
  </si>
  <si>
    <t xml:space="preserve">VARIABILE DI RISCHIO</t>
  </si>
  <si>
    <t xml:space="preserve">CATEGORIA</t>
  </si>
  <si>
    <t xml:space="preserve">UNITÀ</t>
  </si>
  <si>
    <t xml:space="preserve">VALORE NOMINALE
(Baseline)</t>
  </si>
  <si>
    <t xml:space="preserve">SCENARIO
PEGGIORE (Min)</t>
  </si>
  <si>
    <t xml:space="preserve">SCENARIO
MIGLIORE (Max)</t>
  </si>
  <si>
    <t xml:space="preserve">IMPATTO MIN
vs Baseline</t>
  </si>
  <si>
    <t xml:space="preserve">IMPATTO MAX
vs Baseline</t>
  </si>
  <si>
    <t xml:space="preserve">VARIAZIONE TOTALE
(Max-Min)</t>
  </si>
  <si>
    <t xml:space="preserve">PRIORITÀ
RISCHIO</t>
  </si>
  <si>
    <t xml:space="preserve">NOTE / FONTE</t>
  </si>
  <si>
    <t xml:space="preserve">Tempo di ripristino sistemi IT</t>
  </si>
  <si>
    <t xml:space="preserve">Infrastruttura</t>
  </si>
  <si>
    <t xml:space="preserve">ore</t>
  </si>
  <si>
    <t xml:space="preserve">RTO attuale: 24h — target: 8h</t>
  </si>
  <si>
    <t xml:space="preserve">Perdita di ricavi giornalieri</t>
  </si>
  <si>
    <t xml:space="preserve">Finanziario</t>
  </si>
  <si>
    <t xml:space="preserve">€ migliaia</t>
  </si>
  <si>
    <t xml:space="preserve">Stima basata su fatturato medio</t>
  </si>
  <si>
    <t xml:space="preserve">Costi di recupero dati</t>
  </si>
  <si>
    <t xml:space="preserve">Include cloud restore + consulenza</t>
  </si>
  <si>
    <t xml:space="preserve">Numero clienti impattati</t>
  </si>
  <si>
    <t xml:space="preserve">Clienti</t>
  </si>
  <si>
    <t xml:space="preserve">unità</t>
  </si>
  <si>
    <t xml:space="preserve">Clienti attivi con SLA critico</t>
  </si>
  <si>
    <t xml:space="preserve">Ore lavoro perse (dipendenti)</t>
  </si>
  <si>
    <t xml:space="preserve">Operativo</t>
  </si>
  <si>
    <t xml:space="preserve">ore FTE</t>
  </si>
  <si>
    <t xml:space="preserve">Basato su 80 dipendenti × 2h/gg</t>
  </si>
  <si>
    <t xml:space="preserve">Penali contrattuali SLA</t>
  </si>
  <si>
    <t xml:space="preserve">Legale</t>
  </si>
  <si>
    <t xml:space="preserve">Contratti con clausole penali &gt; 5h</t>
  </si>
  <si>
    <t xml:space="preserve">Durata interruzione supply chain</t>
  </si>
  <si>
    <t xml:space="preserve">giorni</t>
  </si>
  <si>
    <t xml:space="preserve">Stima per rottura fornitore tier-1</t>
  </si>
  <si>
    <t xml:space="preserve">Costo risposta all'incidente</t>
  </si>
  <si>
    <t xml:space="preserve">Team IR interno + eventuali forensics</t>
  </si>
  <si>
    <t xml:space="preserve">Impatto reputazionale (NPS drop)</t>
  </si>
  <si>
    <t xml:space="preserve">punti NPS</t>
  </si>
  <si>
    <t xml:space="preserve">Stima da survey post-incidente</t>
  </si>
  <si>
    <t xml:space="preserve">Costi di conformità/notifica GDPR</t>
  </si>
  <si>
    <t xml:space="preserve">Legale/Compliance</t>
  </si>
  <si>
    <t xml:space="preserve">Art. 33-34 GDPR — notifiche obbligatorie</t>
  </si>
  <si>
    <t xml:space="preserve">TOTALE IMPATTO CUMULATO</t>
  </si>
  <si>
    <t xml:space="preserve">CALCOLI TORNADO — DATI ORDINATI PER IMPATTO DECRESCENTE</t>
  </si>
  <si>
    <t xml:space="preserve">⚠️ Questi dati alimentano il grafico. Non modificare manualmente — aggiorna sempre il foglio 'Dati BIA'.</t>
  </si>
  <si>
    <t xml:space="preserve">VARIABILE (ordinata per impatto)</t>
  </si>
  <si>
    <t xml:space="preserve">BASELINE
(Nominale)</t>
  </si>
  <si>
    <t xml:space="preserve">IMPATTO
SCENARIO PEGGIORE</t>
  </si>
  <si>
    <t xml:space="preserve">IMPATTO
SCENARIO MIGLIORE</t>
  </si>
  <si>
    <t xml:space="preserve">VARIAZIONE
TOTALE</t>
  </si>
  <si>
    <t xml:space="preserve">RANK</t>
  </si>
  <si>
    <t xml:space="preserve">BARRA SX
(Scenario Peggiore)</t>
  </si>
  <si>
    <t xml:space="preserve">BARRA DX
(Scenario Migliore)</t>
  </si>
  <si>
    <t xml:space="preserve">TORNADO DIAGRAM — ANALISI DI SENSIBILITÀ BIA</t>
  </si>
  <si>
    <t xml:space="preserve">Le variabili con la barra più lunga hanno il maggiore impatto sulla baseline. Barra rossa = scenario peggiore (Min) | Barra verde/teal = scenario migliore (Max).</t>
  </si>
  <si>
    <t xml:space="preserve">VARIABILI ANALIZZATE</t>
  </si>
  <si>
    <t xml:space="preserve">VARIABILE A MASSIMO IMPATTO</t>
  </si>
  <si>
    <t xml:space="preserve">VARIAZIONE TOTALE N°1</t>
  </si>
  <si>
    <t xml:space="preserve">VARIABILE</t>
  </si>
  <si>
    <t xml:space="preserve">SCENARIO PEGGIORE</t>
  </si>
  <si>
    <t xml:space="preserve">SCENARIO MIGLIORE</t>
  </si>
  <si>
    <t xml:space="preserve">VARIAZIONE TOTALE</t>
  </si>
  <si>
    <t xml:space="preserve">📘  GUIDA RAPIDA — TORNADO DIAGRAM BIA</t>
  </si>
  <si>
    <t xml:space="preserve">  🎯  OBIETTIVO DEL MODELLO</t>
  </si>
  <si>
    <t xml:space="preserve">  →.  Questo modello automatizza la Business Impact Analysis tramite un Tornado Diagram dinamico.</t>
  </si>
  <si>
    <t xml:space="preserve">  →.  Il grafico visualizza quali variabili di rischio hanno il maggiore impatto sulla baseline operativa.</t>
  </si>
  <si>
    <t xml:space="preserve">  →.  L'ordinamento è automatico: la variabile con la variazione totale più alta appare sempre in cima.</t>
  </si>
  <si>
    <t xml:space="preserve">  📊  STRUTTURA DEI FOGLI</t>
  </si>
  <si>
    <t xml:space="preserve">  1.  📊 Dati BIA</t>
  </si>
  <si>
    <t xml:space="preserve">  →.    Inserisci qui tutte le variabili di rischio con i relativi valori nominale, minimo e massimo.</t>
  </si>
  <si>
    <t xml:space="preserve">  →.    Le colonne H, I, J calcolano automaticamente le variazioni rispetto alla baseline.</t>
  </si>
  <si>
    <t xml:space="preserve">  2.  ⚙️ Calcoli Tornado</t>
  </si>
  <si>
    <t xml:space="preserve">  →.    Non modificare. Le formule INDEX/MATCH/LARGE ordinano automaticamente le variabili per impatto.</t>
  </si>
  <si>
    <t xml:space="preserve">  3.  🌪️ Tornado Diagram</t>
  </si>
  <si>
    <t xml:space="preserve">  →.    Visualizza il grafico a barre speculari aggiornato in tempo reale dopo ogni modifica ai Dati BIA.</t>
  </si>
  <si>
    <t xml:space="preserve">  4.  📋 Istruzioni</t>
  </si>
  <si>
    <t xml:space="preserve">  →.    Questo foglio. Consultalo ogni volta che aggiungi nuove simulazioni.</t>
  </si>
  <si>
    <t xml:space="preserve">  ✏️  COME AGGIORNARE I DATI PER NUOVE SIMULAZIONI</t>
  </si>
  <si>
    <t xml:space="preserve">  1.  Vai al foglio 📊 Dati BIA.</t>
  </si>
  <si>
    <t xml:space="preserve">  2.  Nella colonna B (righe 6–15) modifica il nome della variabile di rischio che vuoi analizzare.</t>
  </si>
  <si>
    <t xml:space="preserve">  3.  Aggiorna i valori nelle colonne E (Nominale), F (Scenario Peggiore), G (Scenario Migliore).</t>
  </si>
  <si>
    <t xml:space="preserve">  4.  Le colonne H, I, J si aggiornano automaticamente con le variazioni vs baseline.</t>
  </si>
  <si>
    <t xml:space="preserve">  5.  Il foglio ⚙️ Calcoli Tornado ri-ordina automaticamente le variabili per impatto decrescente.</t>
  </si>
  <si>
    <t xml:space="preserve">  6.  Il Tornado Diagram si aggiorna: nessuna azione manuale sul grafico è necessaria.</t>
  </si>
  <si>
    <t xml:space="preserve">  ➕  COME AGGIUNGERE NUOVE VARIABILI (OLTRE LE 10 PREDEFINITE)</t>
  </si>
  <si>
    <t xml:space="preserve">  1.  Inserisci nuove righe tra la riga 6 e la riga 15 del foglio 📊 Dati BIA (non oltre la riga 15).</t>
  </si>
  <si>
    <t xml:space="preserve">  2.  Se hai più di 10 variabili: espandi i range nelle formule del foglio ⚙️ Calcoli Tornado (J6:J15 → J6:J25).</t>
  </si>
  <si>
    <t xml:space="preserve">  3.  Aggiorna anche il range del grafico nel foglio 🌪️ Tornado Diagram (tasto destro → Seleziona dati).</t>
  </si>
  <si>
    <t xml:space="preserve">  4.  Aggiorna i range RANK in colonna K del foglio Dati BIA.</t>
  </si>
  <si>
    <t xml:space="preserve">  ⚠️  AVVERTENZE IMPORTANTI</t>
  </si>
  <si>
    <t xml:space="preserve">  ⚠️  Non inserire testo nelle celle numeriche (E, F, G) — le formule dipendono da valori numerici.</t>
  </si>
  <si>
    <t xml:space="preserve">  ⚠️  Se due variabili hanno la stessa variazione totale, l'ordinamento segue l'ordine di inserimento.</t>
  </si>
  <si>
    <t xml:space="preserve">  💡  Per simulazioni storiche, salva una copia del file con data nel nome prima di modificare i dati.</t>
  </si>
  <si>
    <t xml:space="preserve">  ℹ️  Il grafico si aggiorna automaticamente in Excel Desktop. In Excel Online potrebbe richiedere F9.</t>
  </si>
  <si>
    <t xml:space="preserve">  🏷️  LEGENDA COLORI</t>
  </si>
  <si>
    <t xml:space="preserve">  ■  Sfondo giallo (Colonna E)  →  Valore NOMINALE / Baseline — punto di riferimento centrale</t>
  </si>
  <si>
    <t xml:space="preserve">  ■  Sfondo rosso chiaro (Colonna F)  →  Scenario PEGGIORE — impatto negativo massimo</t>
  </si>
  <si>
    <t xml:space="preserve">  ■  Sfondo teal chiaro (Colonna G)  →  Scenario MIGLIORE — impatto positivo atteso</t>
  </si>
  <si>
    <t xml:space="preserve">  ■  Barre rosse (Grafico)  →  Deviazione verso lo scenario peggiore vs baseline</t>
  </si>
  <si>
    <t xml:space="preserve">  ■  Barre teal (Grafico)  →  Deviazione verso lo scenario migliore vs baseline</t>
  </si>
  <si>
    <t xml:space="preserve">  ■  Badge blu scuro (Colonna K)  →  Rank di priorità: 1 = massimo impatto sul business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</si>
</sst>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"/>
    <numFmt numFmtId="166" formatCode="\+#,##0.0;\-#,##0.0;0"/>
    <numFmt numFmtId="167" formatCode="#,##0"/>
    <numFmt numFmtId="168" formatCode="@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7A797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28251D"/>
      <name val="Calibri"/>
      <family val="0"/>
      <charset val="1"/>
    </font>
    <font>
      <sz val="9"/>
      <color rgb="FF7A7974"/>
      <name val="Calibri"/>
      <family val="0"/>
      <charset val="1"/>
    </font>
    <font>
      <i val="true"/>
      <sz val="9"/>
      <color rgb="FF7A7974"/>
      <name val="Calibri"/>
      <family val="0"/>
      <charset val="1"/>
    </font>
    <font>
      <b val="true"/>
      <sz val="10"/>
      <color rgb="FF28251D"/>
      <name val="Calibri"/>
      <family val="0"/>
      <charset val="1"/>
    </font>
    <font>
      <b val="true"/>
      <sz val="10"/>
      <color rgb="FFA84B2F"/>
      <name val="Calibri"/>
      <family val="0"/>
      <charset val="1"/>
    </font>
    <font>
      <b val="true"/>
      <sz val="10"/>
      <color rgb="FF01696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i val="true"/>
      <sz val="9"/>
      <color rgb="FF964219"/>
      <name val="Calibri"/>
      <family val="0"/>
      <charset val="1"/>
    </font>
    <font>
      <b val="true"/>
      <sz val="8"/>
      <color rgb="FF7A7974"/>
      <name val="Calibri"/>
      <family val="0"/>
      <charset val="1"/>
    </font>
    <font>
      <b val="true"/>
      <sz val="14"/>
      <color rgb="FF1B474D"/>
      <name val="Calibri"/>
      <family val="0"/>
      <charset val="1"/>
    </font>
    <font>
      <b val="true"/>
      <sz val="10"/>
      <name val="Calibri"/>
      <family val="0"/>
      <charset val="1"/>
    </font>
    <font>
      <sz val="10"/>
      <color rgb="FFA84B2F"/>
      <name val="Calibri"/>
      <family val="0"/>
      <charset val="1"/>
    </font>
    <font>
      <sz val="10"/>
      <color rgb="FF01696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Calibri"/>
      <family val="0"/>
      <charset val="1"/>
    </font>
    <font>
      <b val="true"/>
      <sz val="11"/>
      <color rgb="FF1B474D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474D"/>
        <bgColor rgb="FF28251D"/>
      </patternFill>
    </fill>
    <fill>
      <patternFill patternType="solid">
        <fgColor rgb="FFF9F8F5"/>
        <bgColor rgb="FFFFF8E8"/>
      </patternFill>
    </fill>
    <fill>
      <patternFill patternType="solid">
        <fgColor rgb="FFFFFFFF"/>
        <bgColor rgb="FFF9F8F5"/>
      </patternFill>
    </fill>
    <fill>
      <patternFill patternType="solid">
        <fgColor rgb="FFFFFDE7"/>
        <bgColor rgb="FFFFF8E8"/>
      </patternFill>
    </fill>
    <fill>
      <patternFill patternType="solid">
        <fgColor rgb="FFFFF0EE"/>
        <bgColor rgb="FFFFF8E8"/>
      </patternFill>
    </fill>
    <fill>
      <patternFill patternType="solid">
        <fgColor rgb="FFEFF6F7"/>
        <bgColor rgb="FFF9F8F5"/>
      </patternFill>
    </fill>
    <fill>
      <patternFill patternType="solid">
        <fgColor rgb="FF20808D"/>
        <bgColor rgb="FF339966"/>
      </patternFill>
    </fill>
    <fill>
      <patternFill patternType="solid">
        <fgColor rgb="FFFFF8E8"/>
        <bgColor rgb="FFFFFDE7"/>
      </patternFill>
    </fill>
    <fill>
      <patternFill patternType="solid">
        <fgColor rgb="FFBCE2E7"/>
        <bgColor rgb="FFD9D9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medium">
        <color rgb="FF1B474D"/>
      </top>
      <bottom style="medium">
        <color rgb="FF1B474D"/>
      </bottom>
      <diagonal/>
    </border>
    <border diagonalUp="false" diagonalDown="false">
      <left/>
      <right/>
      <top/>
      <bottom style="thin">
        <color rgb="FFD4D1CA"/>
      </bottom>
      <diagonal/>
    </border>
    <border diagonalUp="false" diagonalDown="false">
      <left/>
      <right/>
      <top style="medium">
        <color rgb="FF1B474D"/>
      </top>
      <bottom style="medium">
        <color rgb="FF1B474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7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7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7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0808D"/>
      <rgbColor rgb="FFD4D1CA"/>
      <rgbColor rgb="FF878787"/>
      <rgbColor rgb="FF9999FF"/>
      <rgbColor rgb="FFA84B2F"/>
      <rgbColor rgb="FFFFFDE7"/>
      <rgbColor rgb="FFEFF6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1696F"/>
      <rgbColor rgb="FF0000FF"/>
      <rgbColor rgb="FF00CCFF"/>
      <rgbColor rgb="FFBCE2E7"/>
      <rgbColor rgb="FFF9F8F5"/>
      <rgbColor rgb="FFFFF8E8"/>
      <rgbColor rgb="FFFFF0EE"/>
      <rgbColor rgb="FFFF99CC"/>
      <rgbColor rgb="FFCC99FF"/>
      <rgbColor rgb="FFFFC553"/>
      <rgbColor rgb="FF3366FF"/>
      <rgbColor rgb="FF33CCCC"/>
      <rgbColor rgb="FF99CC00"/>
      <rgbColor rgb="FFFFCC00"/>
      <rgbColor rgb="FFFF9900"/>
      <rgbColor rgb="FFFF6600"/>
      <rgbColor rgb="FF7A7974"/>
      <rgbColor rgb="FF969696"/>
      <rgbColor rgb="FF1B474D"/>
      <rgbColor rgb="FF339966"/>
      <rgbColor rgb="FF003300"/>
      <rgbColor rgb="FF333300"/>
      <rgbColor rgb="FF8B3520"/>
      <rgbColor rgb="FF964219"/>
      <rgbColor rgb="FF333399"/>
      <rgbColor rgb="FF2825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Tornado Diagram — Variazione rispetto alla Baseline BIA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'🌪️ Tornado Diagram'!C8</c:f>
              <c:strCache>
                <c:ptCount val="1"/>
                <c:pt idx="0">
                  <c:v>SCENARIO PEGGIORE</c:v>
                </c:pt>
              </c:strCache>
            </c:strRef>
          </c:tx>
          <c:spPr>
            <a:solidFill>
              <a:srgbClr val="A84B2F"/>
            </a:solidFill>
            <a:ln w="12600">
              <a:solidFill>
                <a:srgbClr val="8B352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8B352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'🌪️ Tornado Diagram'!$B$9:$B$18</c:f>
              <c:strCache>
                <c:ptCount val="10"/>
                <c:pt idx="0">
                  <c:v>Numero clienti impattati</c:v>
                </c:pt>
                <c:pt idx="1">
                  <c:v>Ore lavoro perse (dipendenti)</c:v>
                </c:pt>
                <c:pt idx="2">
                  <c:v>Perdita di ricavi giornalieri</c:v>
                </c:pt>
                <c:pt idx="3">
                  <c:v>Costi di recupero dati</c:v>
                </c:pt>
                <c:pt idx="4">
                  <c:v>Penali contrattuali SLA</c:v>
                </c:pt>
                <c:pt idx="5">
                  <c:v>Costo risposta all'incidente</c:v>
                </c:pt>
                <c:pt idx="6">
                  <c:v>Tempo di ripristino sistemi IT</c:v>
                </c:pt>
                <c:pt idx="7">
                  <c:v>Costi di conformità/notifica GDPR</c:v>
                </c:pt>
                <c:pt idx="8">
                  <c:v>Impatto reputazionale (NPS drop)</c:v>
                </c:pt>
                <c:pt idx="9">
                  <c:v>Durata interruzione supply chain</c:v>
                </c:pt>
              </c:strCache>
            </c:strRef>
          </c:cat>
          <c:val>
            <c:numRef>
              <c:f>'🌪️ Tornado Diagram'!$C$9:$C$18</c:f>
              <c:numCache>
                <c:formatCode>\+#,##0.0;\-#,##0.0;0</c:formatCode>
                <c:ptCount val="10"/>
                <c:pt idx="0">
                  <c:v>1300</c:v>
                </c:pt>
                <c:pt idx="1">
                  <c:v>320</c:v>
                </c:pt>
                <c:pt idx="2">
                  <c:v>170</c:v>
                </c:pt>
                <c:pt idx="3">
                  <c:v>75</c:v>
                </c:pt>
                <c:pt idx="4">
                  <c:v>70</c:v>
                </c:pt>
                <c:pt idx="5">
                  <c:v>50</c:v>
                </c:pt>
                <c:pt idx="6">
                  <c:v>48</c:v>
                </c:pt>
                <c:pt idx="7">
                  <c:v>42</c:v>
                </c:pt>
                <c:pt idx="8">
                  <c:v>-13</c:v>
                </c:pt>
                <c:pt idx="9">
                  <c:v>4</c:v>
                </c:pt>
              </c:numCache>
            </c:numRef>
          </c:val>
        </c:ser>
        <c:ser>
          <c:idx val="1"/>
          <c:order val="1"/>
          <c:tx>
            <c:strRef>
              <c:f>'🌪️ Tornado Diagram'!D8</c:f>
              <c:strCache>
                <c:ptCount val="1"/>
                <c:pt idx="0">
                  <c:v>SCENARIO MIGLIORE</c:v>
                </c:pt>
              </c:strCache>
            </c:strRef>
          </c:tx>
          <c:spPr>
            <a:solidFill>
              <a:srgbClr val="20808D"/>
            </a:solidFill>
            <a:ln w="12600">
              <a:solidFill>
                <a:srgbClr val="1B474D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1B474D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'🌪️ Tornado Diagram'!$B$9:$B$18</c:f>
              <c:strCache>
                <c:ptCount val="10"/>
                <c:pt idx="0">
                  <c:v>Numero clienti impattati</c:v>
                </c:pt>
                <c:pt idx="1">
                  <c:v>Ore lavoro perse (dipendenti)</c:v>
                </c:pt>
                <c:pt idx="2">
                  <c:v>Perdita di ricavi giornalieri</c:v>
                </c:pt>
                <c:pt idx="3">
                  <c:v>Costi di recupero dati</c:v>
                </c:pt>
                <c:pt idx="4">
                  <c:v>Penali contrattuali SLA</c:v>
                </c:pt>
                <c:pt idx="5">
                  <c:v>Costo risposta all'incidente</c:v>
                </c:pt>
                <c:pt idx="6">
                  <c:v>Tempo di ripristino sistemi IT</c:v>
                </c:pt>
                <c:pt idx="7">
                  <c:v>Costi di conformità/notifica GDPR</c:v>
                </c:pt>
                <c:pt idx="8">
                  <c:v>Impatto reputazionale (NPS drop)</c:v>
                </c:pt>
                <c:pt idx="9">
                  <c:v>Durata interruzione supply chain</c:v>
                </c:pt>
              </c:strCache>
            </c:strRef>
          </c:cat>
          <c:val>
            <c:numRef>
              <c:f>'🌪️ Tornado Diagram'!$D$9:$D$18</c:f>
              <c:numCache>
                <c:formatCode>\+#,##0.0;\-#,##0.0;0</c:formatCode>
                <c:ptCount val="10"/>
                <c:pt idx="0">
                  <c:v>-400</c:v>
                </c:pt>
                <c:pt idx="1">
                  <c:v>-120</c:v>
                </c:pt>
                <c:pt idx="2">
                  <c:v>-90</c:v>
                </c:pt>
                <c:pt idx="3">
                  <c:v>-25</c:v>
                </c:pt>
                <c:pt idx="4">
                  <c:v>-10</c:v>
                </c:pt>
                <c:pt idx="5">
                  <c:v>-15</c:v>
                </c:pt>
                <c:pt idx="6">
                  <c:v>-16</c:v>
                </c:pt>
                <c:pt idx="7">
                  <c:v>-6</c:v>
                </c:pt>
                <c:pt idx="8">
                  <c:v>4</c:v>
                </c:pt>
                <c:pt idx="9">
                  <c:v>-2</c:v>
                </c:pt>
              </c:numCache>
            </c:numRef>
          </c:val>
        </c:ser>
        <c:gapWidth val="150"/>
        <c:overlap val="100"/>
        <c:axId val="99997868"/>
        <c:axId val="30474017"/>
      </c:barChart>
      <c:catAx>
        <c:axId val="9999786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Variazione rispetto alla Baseline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474017"/>
        <c:crosses val="autoZero"/>
        <c:auto val="1"/>
        <c:lblAlgn val="ctr"/>
        <c:lblOffset val="100"/>
        <c:noMultiLvlLbl val="0"/>
      </c:catAx>
      <c:valAx>
        <c:axId val="304740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Variabile di Rischio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+#,##0.0;\-#,##0.0;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99786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20</xdr:row>
      <xdr:rowOff>0</xdr:rowOff>
    </xdr:from>
    <xdr:to>
      <xdr:col>12</xdr:col>
      <xdr:colOff>457200</xdr:colOff>
      <xdr:row>54</xdr:row>
      <xdr:rowOff>2880</xdr:rowOff>
    </xdr:to>
    <xdr:graphicFrame>
      <xdr:nvGraphicFramePr>
        <xdr:cNvPr id="1" name="Chart 1"/>
        <xdr:cNvGraphicFramePr/>
      </xdr:nvGraphicFramePr>
      <xdr:xfrm>
        <a:off x="211320" y="5210280"/>
        <a:ext cx="10799640" cy="64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0808D"/>
    <pageSetUpPr fitToPage="false"/>
  </sheetPr>
  <dimension ref="B1:L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4" min="3" style="0" width="14"/>
    <col collapsed="false" customWidth="true" hidden="false" outlineLevel="0" max="7" min="5" style="0" width="18"/>
    <col collapsed="false" customWidth="true" hidden="false" outlineLevel="0" max="9" min="8" style="0" width="20"/>
    <col collapsed="false" customWidth="true" hidden="false" outlineLevel="0" max="10" min="10" style="0" width="22"/>
    <col collapsed="false" customWidth="true" hidden="false" outlineLevel="0" max="11" min="11" style="0" width="14"/>
    <col collapsed="false" customWidth="true" hidden="false" outlineLevel="0" max="12" min="12" style="0" width="30"/>
  </cols>
  <sheetData>
    <row r="1" customFormat="false" ht="6" hidden="false" customHeight="true" outlineLevel="0" collapsed="false"/>
    <row r="2" customFormat="false" ht="36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21.7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7.5" hidden="false" customHeight="true" outlineLevel="0" collapsed="false"/>
    <row r="5" customFormat="false" ht="39.75" hidden="false" customHeight="tru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</row>
    <row r="6" customFormat="false" ht="21.75" hidden="false" customHeight="true" outlineLevel="0" collapsed="false">
      <c r="B6" s="4" t="s">
        <v>13</v>
      </c>
      <c r="C6" s="5" t="s">
        <v>14</v>
      </c>
      <c r="D6" s="6" t="s">
        <v>15</v>
      </c>
      <c r="E6" s="7" t="n">
        <v>24</v>
      </c>
      <c r="F6" s="8" t="n">
        <v>72</v>
      </c>
      <c r="G6" s="9" t="n">
        <v>8</v>
      </c>
      <c r="H6" s="10" t="n">
        <f aca="false">F6-E6</f>
        <v>48</v>
      </c>
      <c r="I6" s="11" t="n">
        <f aca="false">G6-E6</f>
        <v>-16</v>
      </c>
      <c r="J6" s="12" t="n">
        <f aca="false">ABS(H6)+ABS(I6)</f>
        <v>64</v>
      </c>
      <c r="K6" s="13" t="n">
        <f aca="false">RANK(J6,J6:J15,0)</f>
        <v>7</v>
      </c>
      <c r="L6" s="14" t="s">
        <v>16</v>
      </c>
    </row>
    <row r="7" customFormat="false" ht="21.75" hidden="false" customHeight="true" outlineLevel="0" collapsed="false">
      <c r="B7" s="15" t="s">
        <v>17</v>
      </c>
      <c r="C7" s="16" t="s">
        <v>18</v>
      </c>
      <c r="D7" s="17" t="s">
        <v>19</v>
      </c>
      <c r="E7" s="7" t="n">
        <v>150</v>
      </c>
      <c r="F7" s="8" t="n">
        <v>320</v>
      </c>
      <c r="G7" s="9" t="n">
        <v>60</v>
      </c>
      <c r="H7" s="18" t="n">
        <f aca="false">F7-E7</f>
        <v>170</v>
      </c>
      <c r="I7" s="19" t="n">
        <f aca="false">G7-E7</f>
        <v>-90</v>
      </c>
      <c r="J7" s="20" t="n">
        <f aca="false">ABS(H7)+ABS(I7)</f>
        <v>260</v>
      </c>
      <c r="K7" s="13" t="n">
        <f aca="false">RANK(J7,J6:J15,0)</f>
        <v>3</v>
      </c>
      <c r="L7" s="21" t="s">
        <v>20</v>
      </c>
    </row>
    <row r="8" customFormat="false" ht="21.75" hidden="false" customHeight="true" outlineLevel="0" collapsed="false">
      <c r="B8" s="4" t="s">
        <v>21</v>
      </c>
      <c r="C8" s="5" t="s">
        <v>18</v>
      </c>
      <c r="D8" s="6" t="s">
        <v>19</v>
      </c>
      <c r="E8" s="7" t="n">
        <v>45</v>
      </c>
      <c r="F8" s="8" t="n">
        <v>120</v>
      </c>
      <c r="G8" s="9" t="n">
        <v>20</v>
      </c>
      <c r="H8" s="10" t="n">
        <f aca="false">F8-E8</f>
        <v>75</v>
      </c>
      <c r="I8" s="11" t="n">
        <f aca="false">G8-E8</f>
        <v>-25</v>
      </c>
      <c r="J8" s="12" t="n">
        <f aca="false">ABS(H8)+ABS(I8)</f>
        <v>100</v>
      </c>
      <c r="K8" s="13" t="n">
        <f aca="false">RANK(J8,J6:J15,0)</f>
        <v>4</v>
      </c>
      <c r="L8" s="14" t="s">
        <v>22</v>
      </c>
    </row>
    <row r="9" customFormat="false" ht="21.75" hidden="false" customHeight="true" outlineLevel="0" collapsed="false">
      <c r="B9" s="15" t="s">
        <v>23</v>
      </c>
      <c r="C9" s="16" t="s">
        <v>24</v>
      </c>
      <c r="D9" s="17" t="s">
        <v>25</v>
      </c>
      <c r="E9" s="7" t="n">
        <v>500</v>
      </c>
      <c r="F9" s="8" t="n">
        <v>1800</v>
      </c>
      <c r="G9" s="9" t="n">
        <v>100</v>
      </c>
      <c r="H9" s="18" t="n">
        <f aca="false">F9-E9</f>
        <v>1300</v>
      </c>
      <c r="I9" s="19" t="n">
        <f aca="false">G9-E9</f>
        <v>-400</v>
      </c>
      <c r="J9" s="20" t="n">
        <f aca="false">ABS(H9)+ABS(I9)</f>
        <v>1700</v>
      </c>
      <c r="K9" s="13" t="n">
        <f aca="false">RANK(J9,J6:J15,0)</f>
        <v>1</v>
      </c>
      <c r="L9" s="21" t="s">
        <v>26</v>
      </c>
    </row>
    <row r="10" customFormat="false" ht="21.75" hidden="false" customHeight="true" outlineLevel="0" collapsed="false">
      <c r="B10" s="4" t="s">
        <v>27</v>
      </c>
      <c r="C10" s="5" t="s">
        <v>28</v>
      </c>
      <c r="D10" s="6" t="s">
        <v>29</v>
      </c>
      <c r="E10" s="7" t="n">
        <v>160</v>
      </c>
      <c r="F10" s="8" t="n">
        <v>480</v>
      </c>
      <c r="G10" s="9" t="n">
        <v>40</v>
      </c>
      <c r="H10" s="10" t="n">
        <f aca="false">F10-E10</f>
        <v>320</v>
      </c>
      <c r="I10" s="11" t="n">
        <f aca="false">G10-E10</f>
        <v>-120</v>
      </c>
      <c r="J10" s="12" t="n">
        <f aca="false">ABS(H10)+ABS(I10)</f>
        <v>440</v>
      </c>
      <c r="K10" s="13" t="n">
        <f aca="false">RANK(J10,J6:J15,0)</f>
        <v>2</v>
      </c>
      <c r="L10" s="14" t="s">
        <v>30</v>
      </c>
    </row>
    <row r="11" customFormat="false" ht="21.75" hidden="false" customHeight="true" outlineLevel="0" collapsed="false">
      <c r="B11" s="15" t="s">
        <v>31</v>
      </c>
      <c r="C11" s="16" t="s">
        <v>32</v>
      </c>
      <c r="D11" s="17" t="s">
        <v>19</v>
      </c>
      <c r="E11" s="7" t="n">
        <v>10</v>
      </c>
      <c r="F11" s="8" t="n">
        <v>80</v>
      </c>
      <c r="G11" s="9" t="n">
        <v>0</v>
      </c>
      <c r="H11" s="18" t="n">
        <f aca="false">F11-E11</f>
        <v>70</v>
      </c>
      <c r="I11" s="19" t="n">
        <f aca="false">G11-E11</f>
        <v>-10</v>
      </c>
      <c r="J11" s="20" t="n">
        <f aca="false">ABS(H11)+ABS(I11)</f>
        <v>80</v>
      </c>
      <c r="K11" s="13" t="n">
        <f aca="false">RANK(J11,J6:J15,0)</f>
        <v>5</v>
      </c>
      <c r="L11" s="21" t="s">
        <v>33</v>
      </c>
    </row>
    <row r="12" customFormat="false" ht="21.75" hidden="false" customHeight="true" outlineLevel="0" collapsed="false">
      <c r="B12" s="4" t="s">
        <v>34</v>
      </c>
      <c r="C12" s="5" t="s">
        <v>28</v>
      </c>
      <c r="D12" s="6" t="s">
        <v>35</v>
      </c>
      <c r="E12" s="7" t="n">
        <v>3</v>
      </c>
      <c r="F12" s="8" t="n">
        <v>7</v>
      </c>
      <c r="G12" s="9" t="n">
        <v>1</v>
      </c>
      <c r="H12" s="10" t="n">
        <f aca="false">F12-E12</f>
        <v>4</v>
      </c>
      <c r="I12" s="11" t="n">
        <f aca="false">G12-E12</f>
        <v>-2</v>
      </c>
      <c r="J12" s="12" t="n">
        <f aca="false">ABS(H12)+ABS(I12)</f>
        <v>6</v>
      </c>
      <c r="K12" s="13" t="n">
        <f aca="false">RANK(J12,J6:J15,0)</f>
        <v>10</v>
      </c>
      <c r="L12" s="14" t="s">
        <v>36</v>
      </c>
    </row>
    <row r="13" customFormat="false" ht="21.75" hidden="false" customHeight="true" outlineLevel="0" collapsed="false">
      <c r="B13" s="15" t="s">
        <v>37</v>
      </c>
      <c r="C13" s="16" t="s">
        <v>18</v>
      </c>
      <c r="D13" s="17" t="s">
        <v>19</v>
      </c>
      <c r="E13" s="7" t="n">
        <v>25</v>
      </c>
      <c r="F13" s="8" t="n">
        <v>75</v>
      </c>
      <c r="G13" s="9" t="n">
        <v>10</v>
      </c>
      <c r="H13" s="18" t="n">
        <f aca="false">F13-E13</f>
        <v>50</v>
      </c>
      <c r="I13" s="19" t="n">
        <f aca="false">G13-E13</f>
        <v>-15</v>
      </c>
      <c r="J13" s="20" t="n">
        <f aca="false">ABS(H13)+ABS(I13)</f>
        <v>65</v>
      </c>
      <c r="K13" s="13" t="n">
        <f aca="false">RANK(J13,J6:J15,0)</f>
        <v>6</v>
      </c>
      <c r="L13" s="21" t="s">
        <v>38</v>
      </c>
    </row>
    <row r="14" customFormat="false" ht="21.75" hidden="false" customHeight="true" outlineLevel="0" collapsed="false">
      <c r="B14" s="4" t="s">
        <v>39</v>
      </c>
      <c r="C14" s="5" t="s">
        <v>24</v>
      </c>
      <c r="D14" s="6" t="s">
        <v>40</v>
      </c>
      <c r="E14" s="7" t="n">
        <v>-5</v>
      </c>
      <c r="F14" s="8" t="n">
        <v>-18</v>
      </c>
      <c r="G14" s="9" t="n">
        <v>-1</v>
      </c>
      <c r="H14" s="10" t="n">
        <f aca="false">F14-E14</f>
        <v>-13</v>
      </c>
      <c r="I14" s="11" t="n">
        <f aca="false">G14-E14</f>
        <v>4</v>
      </c>
      <c r="J14" s="12" t="n">
        <f aca="false">ABS(H14)+ABS(I14)</f>
        <v>17</v>
      </c>
      <c r="K14" s="13" t="n">
        <f aca="false">RANK(J14,J6:J15,0)</f>
        <v>9</v>
      </c>
      <c r="L14" s="14" t="s">
        <v>41</v>
      </c>
    </row>
    <row r="15" customFormat="false" ht="21.75" hidden="false" customHeight="true" outlineLevel="0" collapsed="false">
      <c r="B15" s="15" t="s">
        <v>42</v>
      </c>
      <c r="C15" s="16" t="s">
        <v>43</v>
      </c>
      <c r="D15" s="17" t="s">
        <v>19</v>
      </c>
      <c r="E15" s="7" t="n">
        <v>8</v>
      </c>
      <c r="F15" s="8" t="n">
        <v>50</v>
      </c>
      <c r="G15" s="9" t="n">
        <v>2</v>
      </c>
      <c r="H15" s="18" t="n">
        <f aca="false">F15-E15</f>
        <v>42</v>
      </c>
      <c r="I15" s="19" t="n">
        <f aca="false">G15-E15</f>
        <v>-6</v>
      </c>
      <c r="J15" s="20" t="n">
        <f aca="false">ABS(H15)+ABS(I15)</f>
        <v>48</v>
      </c>
      <c r="K15" s="13" t="n">
        <f aca="false">RANK(J15,J6:J15,0)</f>
        <v>8</v>
      </c>
      <c r="L15" s="21" t="s">
        <v>44</v>
      </c>
    </row>
    <row r="16" customFormat="false" ht="24" hidden="false" customHeight="true" outlineLevel="0" collapsed="false">
      <c r="B16" s="22" t="s">
        <v>45</v>
      </c>
      <c r="C16" s="22"/>
      <c r="D16" s="22"/>
      <c r="E16" s="23" t="n">
        <f aca="false">SUM(E6:E15)</f>
        <v>920</v>
      </c>
      <c r="F16" s="23" t="n">
        <f aca="false">SUM(F6:F15)</f>
        <v>2986</v>
      </c>
      <c r="G16" s="23" t="n">
        <f aca="false">SUM(G6:G15)</f>
        <v>240</v>
      </c>
      <c r="H16" s="23" t="n">
        <f aca="false">SUM(H6:H15)</f>
        <v>2066</v>
      </c>
      <c r="I16" s="23" t="n">
        <f aca="false">SUM(I6:I15)</f>
        <v>-680</v>
      </c>
      <c r="J16" s="23" t="n">
        <f aca="false">SUM(J6:J15)</f>
        <v>2780</v>
      </c>
      <c r="K16" s="24"/>
      <c r="L16" s="24"/>
    </row>
  </sheetData>
  <mergeCells count="3">
    <mergeCell ref="B2:L2"/>
    <mergeCell ref="B3:L3"/>
    <mergeCell ref="B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74D"/>
    <pageSetUpPr fitToPage="false"/>
  </sheetPr>
  <dimension ref="B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7" min="6" style="0" width="20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1" min="10" style="0" width="22"/>
  </cols>
  <sheetData>
    <row r="1" customFormat="false" ht="6" hidden="false" customHeight="true" outlineLevel="0" collapsed="false"/>
    <row r="2" customFormat="false" ht="33.75" hidden="false" customHeight="true" outlineLevel="0" collapsed="false">
      <c r="B2" s="25" t="s">
        <v>46</v>
      </c>
      <c r="C2" s="25"/>
      <c r="D2" s="25"/>
      <c r="E2" s="25"/>
      <c r="F2" s="25"/>
      <c r="G2" s="25"/>
      <c r="H2" s="25"/>
      <c r="I2" s="25"/>
      <c r="J2" s="25"/>
      <c r="K2" s="25"/>
    </row>
    <row r="3" customFormat="false" ht="19.5" hidden="false" customHeight="true" outlineLevel="0" collapsed="false">
      <c r="B3" s="26" t="s">
        <v>47</v>
      </c>
      <c r="C3" s="26"/>
      <c r="D3" s="26"/>
      <c r="E3" s="26"/>
      <c r="F3" s="26"/>
      <c r="G3" s="26"/>
      <c r="H3" s="26"/>
      <c r="I3" s="26"/>
      <c r="J3" s="26"/>
      <c r="K3" s="26"/>
    </row>
    <row r="4" customFormat="false" ht="7.5" hidden="false" customHeight="true" outlineLevel="0" collapsed="false"/>
    <row r="5" customFormat="false" ht="39.75" hidden="false" customHeight="true" outlineLevel="0" collapsed="false">
      <c r="B5" s="3" t="s">
        <v>48</v>
      </c>
      <c r="C5" s="3" t="s">
        <v>3</v>
      </c>
      <c r="D5" s="3" t="s">
        <v>4</v>
      </c>
      <c r="E5" s="3" t="s">
        <v>49</v>
      </c>
      <c r="F5" s="3" t="s">
        <v>50</v>
      </c>
      <c r="G5" s="3" t="s">
        <v>51</v>
      </c>
      <c r="H5" s="3" t="s">
        <v>52</v>
      </c>
      <c r="I5" s="3" t="s">
        <v>53</v>
      </c>
      <c r="J5" s="3" t="s">
        <v>54</v>
      </c>
      <c r="K5" s="3" t="s">
        <v>55</v>
      </c>
    </row>
    <row r="6" customFormat="false" ht="21.75" hidden="false" customHeight="true" outlineLevel="0" collapsed="false">
      <c r="B6" s="27" t="str">
        <f aca="false">IFERROR(INDEX('📊 Dati BIA'!B6:B15,MATCH(LARGE('📊 Dati BIA'!J6:J15,1),'📊 Dati BIA'!J6:J15,0)),"")</f>
        <v>Numero clienti impattati</v>
      </c>
      <c r="C6" s="5" t="str">
        <f aca="false">IFERROR(INDEX('📊 Dati BIA'!C6:C15,MATCH(LARGE('📊 Dati BIA'!J6:J15,1),'📊 Dati BIA'!J6:J15,0)),"")</f>
        <v>Clienti</v>
      </c>
      <c r="D6" s="6" t="str">
        <f aca="false">IFERROR(INDEX('📊 Dati BIA'!D6:D15,MATCH(LARGE('📊 Dati BIA'!J6:J15,1),'📊 Dati BIA'!J6:J15,0)),"")</f>
        <v>unità</v>
      </c>
      <c r="E6" s="7" t="n">
        <f aca="false">IFERROR(INDEX('📊 Dati BIA'!E6:E15,MATCH(LARGE('📊 Dati BIA'!J6:J15,1),'📊 Dati BIA'!J6:J15,0)),"")</f>
        <v>500</v>
      </c>
      <c r="F6" s="28" t="n">
        <f aca="false">IFERROR(INDEX('📊 Dati BIA'!H6:H15,MATCH(LARGE('📊 Dati BIA'!J6:J15,1),'📊 Dati BIA'!J6:J15,0)),"")</f>
        <v>1300</v>
      </c>
      <c r="G6" s="19" t="n">
        <f aca="false">IFERROR(INDEX('📊 Dati BIA'!I6:I15,MATCH(LARGE('📊 Dati BIA'!J6:J15,1),'📊 Dati BIA'!J6:J15,0)),"")</f>
        <v>-400</v>
      </c>
      <c r="H6" s="12" t="n">
        <f aca="false">IFERROR(INDEX('📊 Dati BIA'!J6:J15,MATCH(LARGE('📊 Dati BIA'!J6:J15,1),'📊 Dati BIA'!J6:J15,0)),"")</f>
        <v>1700</v>
      </c>
      <c r="I6" s="29" t="n">
        <v>1</v>
      </c>
      <c r="J6" s="30" t="n">
        <f aca="false">IF(ISNUMBER(F6),F6,0)</f>
        <v>1300</v>
      </c>
      <c r="K6" s="31" t="n">
        <f aca="false">IF(ISNUMBER(G6),G6,0)</f>
        <v>-400</v>
      </c>
    </row>
    <row r="7" customFormat="false" ht="21.75" hidden="false" customHeight="true" outlineLevel="0" collapsed="false">
      <c r="B7" s="32" t="str">
        <f aca="false">IFERROR(INDEX('📊 Dati BIA'!B6:B15,MATCH(LARGE('📊 Dati BIA'!J6:J15,2),'📊 Dati BIA'!J6:J15,0)),"")</f>
        <v>Ore lavoro perse (dipendenti)</v>
      </c>
      <c r="C7" s="16" t="str">
        <f aca="false">IFERROR(INDEX('📊 Dati BIA'!C6:C15,MATCH(LARGE('📊 Dati BIA'!J6:J15,2),'📊 Dati BIA'!J6:J15,0)),"")</f>
        <v>Operativo</v>
      </c>
      <c r="D7" s="17" t="str">
        <f aca="false">IFERROR(INDEX('📊 Dati BIA'!D6:D15,MATCH(LARGE('📊 Dati BIA'!J6:J15,2),'📊 Dati BIA'!J6:J15,0)),"")</f>
        <v>ore FTE</v>
      </c>
      <c r="E7" s="7" t="n">
        <f aca="false">IFERROR(INDEX('📊 Dati BIA'!E6:E15,MATCH(LARGE('📊 Dati BIA'!J6:J15,2),'📊 Dati BIA'!J6:J15,0)),"")</f>
        <v>160</v>
      </c>
      <c r="F7" s="28" t="n">
        <f aca="false">IFERROR(INDEX('📊 Dati BIA'!H6:H15,MATCH(LARGE('📊 Dati BIA'!J6:J15,2),'📊 Dati BIA'!J6:J15,0)),"")</f>
        <v>320</v>
      </c>
      <c r="G7" s="19" t="n">
        <f aca="false">IFERROR(INDEX('📊 Dati BIA'!I6:I15,MATCH(LARGE('📊 Dati BIA'!J6:J15,2),'📊 Dati BIA'!J6:J15,0)),"")</f>
        <v>-120</v>
      </c>
      <c r="H7" s="20" t="n">
        <f aca="false">IFERROR(INDEX('📊 Dati BIA'!J6:J15,MATCH(LARGE('📊 Dati BIA'!J6:J15,2),'📊 Dati BIA'!J6:J15,0)),"")</f>
        <v>440</v>
      </c>
      <c r="I7" s="29" t="n">
        <v>2</v>
      </c>
      <c r="J7" s="33" t="n">
        <f aca="false">IF(ISNUMBER(F7),F7,0)</f>
        <v>320</v>
      </c>
      <c r="K7" s="34" t="n">
        <f aca="false">IF(ISNUMBER(G7),G7,0)</f>
        <v>-120</v>
      </c>
    </row>
    <row r="8" customFormat="false" ht="21.75" hidden="false" customHeight="true" outlineLevel="0" collapsed="false">
      <c r="B8" s="27" t="str">
        <f aca="false">IFERROR(INDEX('📊 Dati BIA'!B6:B15,MATCH(LARGE('📊 Dati BIA'!J6:J15,3),'📊 Dati BIA'!J6:J15,0)),"")</f>
        <v>Perdita di ricavi giornalieri</v>
      </c>
      <c r="C8" s="5" t="str">
        <f aca="false">IFERROR(INDEX('📊 Dati BIA'!C6:C15,MATCH(LARGE('📊 Dati BIA'!J6:J15,3),'📊 Dati BIA'!J6:J15,0)),"")</f>
        <v>Finanziario</v>
      </c>
      <c r="D8" s="6" t="str">
        <f aca="false">IFERROR(INDEX('📊 Dati BIA'!D6:D15,MATCH(LARGE('📊 Dati BIA'!J6:J15,3),'📊 Dati BIA'!J6:J15,0)),"")</f>
        <v>€ migliaia</v>
      </c>
      <c r="E8" s="7" t="n">
        <f aca="false">IFERROR(INDEX('📊 Dati BIA'!E6:E15,MATCH(LARGE('📊 Dati BIA'!J6:J15,3),'📊 Dati BIA'!J6:J15,0)),"")</f>
        <v>150</v>
      </c>
      <c r="F8" s="28" t="n">
        <f aca="false">IFERROR(INDEX('📊 Dati BIA'!H6:H15,MATCH(LARGE('📊 Dati BIA'!J6:J15,3),'📊 Dati BIA'!J6:J15,0)),"")</f>
        <v>170</v>
      </c>
      <c r="G8" s="19" t="n">
        <f aca="false">IFERROR(INDEX('📊 Dati BIA'!I6:I15,MATCH(LARGE('📊 Dati BIA'!J6:J15,3),'📊 Dati BIA'!J6:J15,0)),"")</f>
        <v>-90</v>
      </c>
      <c r="H8" s="12" t="n">
        <f aca="false">IFERROR(INDEX('📊 Dati BIA'!J6:J15,MATCH(LARGE('📊 Dati BIA'!J6:J15,3),'📊 Dati BIA'!J6:J15,0)),"")</f>
        <v>260</v>
      </c>
      <c r="I8" s="29" t="n">
        <v>3</v>
      </c>
      <c r="J8" s="30" t="n">
        <f aca="false">IF(ISNUMBER(F8),F8,0)</f>
        <v>170</v>
      </c>
      <c r="K8" s="31" t="n">
        <f aca="false">IF(ISNUMBER(G8),G8,0)</f>
        <v>-90</v>
      </c>
    </row>
    <row r="9" customFormat="false" ht="21.75" hidden="false" customHeight="true" outlineLevel="0" collapsed="false">
      <c r="B9" s="32" t="str">
        <f aca="false">IFERROR(INDEX('📊 Dati BIA'!B6:B15,MATCH(LARGE('📊 Dati BIA'!J6:J15,4),'📊 Dati BIA'!J6:J15,0)),"")</f>
        <v>Costi di recupero dati</v>
      </c>
      <c r="C9" s="16" t="str">
        <f aca="false">IFERROR(INDEX('📊 Dati BIA'!C6:C15,MATCH(LARGE('📊 Dati BIA'!J6:J15,4),'📊 Dati BIA'!J6:J15,0)),"")</f>
        <v>Finanziario</v>
      </c>
      <c r="D9" s="17" t="str">
        <f aca="false">IFERROR(INDEX('📊 Dati BIA'!D6:D15,MATCH(LARGE('📊 Dati BIA'!J6:J15,4),'📊 Dati BIA'!J6:J15,0)),"")</f>
        <v>€ migliaia</v>
      </c>
      <c r="E9" s="7" t="n">
        <f aca="false">IFERROR(INDEX('📊 Dati BIA'!E6:E15,MATCH(LARGE('📊 Dati BIA'!J6:J15,4),'📊 Dati BIA'!J6:J15,0)),"")</f>
        <v>45</v>
      </c>
      <c r="F9" s="28" t="n">
        <f aca="false">IFERROR(INDEX('📊 Dati BIA'!H6:H15,MATCH(LARGE('📊 Dati BIA'!J6:J15,4),'📊 Dati BIA'!J6:J15,0)),"")</f>
        <v>75</v>
      </c>
      <c r="G9" s="19" t="n">
        <f aca="false">IFERROR(INDEX('📊 Dati BIA'!I6:I15,MATCH(LARGE('📊 Dati BIA'!J6:J15,4),'📊 Dati BIA'!J6:J15,0)),"")</f>
        <v>-25</v>
      </c>
      <c r="H9" s="20" t="n">
        <f aca="false">IFERROR(INDEX('📊 Dati BIA'!J6:J15,MATCH(LARGE('📊 Dati BIA'!J6:J15,4),'📊 Dati BIA'!J6:J15,0)),"")</f>
        <v>100</v>
      </c>
      <c r="I9" s="29" t="n">
        <v>4</v>
      </c>
      <c r="J9" s="33" t="n">
        <f aca="false">IF(ISNUMBER(F9),F9,0)</f>
        <v>75</v>
      </c>
      <c r="K9" s="34" t="n">
        <f aca="false">IF(ISNUMBER(G9),G9,0)</f>
        <v>-25</v>
      </c>
    </row>
    <row r="10" customFormat="false" ht="21.75" hidden="false" customHeight="true" outlineLevel="0" collapsed="false">
      <c r="B10" s="27" t="str">
        <f aca="false">IFERROR(INDEX('📊 Dati BIA'!B6:B15,MATCH(LARGE('📊 Dati BIA'!J6:J15,5),'📊 Dati BIA'!J6:J15,0)),"")</f>
        <v>Penali contrattuali SLA</v>
      </c>
      <c r="C10" s="5" t="str">
        <f aca="false">IFERROR(INDEX('📊 Dati BIA'!C6:C15,MATCH(LARGE('📊 Dati BIA'!J6:J15,5),'📊 Dati BIA'!J6:J15,0)),"")</f>
        <v>Legale</v>
      </c>
      <c r="D10" s="6" t="str">
        <f aca="false">IFERROR(INDEX('📊 Dati BIA'!D6:D15,MATCH(LARGE('📊 Dati BIA'!J6:J15,5),'📊 Dati BIA'!J6:J15,0)),"")</f>
        <v>€ migliaia</v>
      </c>
      <c r="E10" s="7" t="n">
        <f aca="false">IFERROR(INDEX('📊 Dati BIA'!E6:E15,MATCH(LARGE('📊 Dati BIA'!J6:J15,5),'📊 Dati BIA'!J6:J15,0)),"")</f>
        <v>10</v>
      </c>
      <c r="F10" s="28" t="n">
        <f aca="false">IFERROR(INDEX('📊 Dati BIA'!H6:H15,MATCH(LARGE('📊 Dati BIA'!J6:J15,5),'📊 Dati BIA'!J6:J15,0)),"")</f>
        <v>70</v>
      </c>
      <c r="G10" s="19" t="n">
        <f aca="false">IFERROR(INDEX('📊 Dati BIA'!I6:I15,MATCH(LARGE('📊 Dati BIA'!J6:J15,5),'📊 Dati BIA'!J6:J15,0)),"")</f>
        <v>-10</v>
      </c>
      <c r="H10" s="12" t="n">
        <f aca="false">IFERROR(INDEX('📊 Dati BIA'!J6:J15,MATCH(LARGE('📊 Dati BIA'!J6:J15,5),'📊 Dati BIA'!J6:J15,0)),"")</f>
        <v>80</v>
      </c>
      <c r="I10" s="29" t="n">
        <v>5</v>
      </c>
      <c r="J10" s="30" t="n">
        <f aca="false">IF(ISNUMBER(F10),F10,0)</f>
        <v>70</v>
      </c>
      <c r="K10" s="31" t="n">
        <f aca="false">IF(ISNUMBER(G10),G10,0)</f>
        <v>-10</v>
      </c>
    </row>
    <row r="11" customFormat="false" ht="21.75" hidden="false" customHeight="true" outlineLevel="0" collapsed="false">
      <c r="B11" s="32" t="str">
        <f aca="false">IFERROR(INDEX('📊 Dati BIA'!B6:B15,MATCH(LARGE('📊 Dati BIA'!J6:J15,6),'📊 Dati BIA'!J6:J15,0)),"")</f>
        <v>Costo risposta all'incidente</v>
      </c>
      <c r="C11" s="16" t="str">
        <f aca="false">IFERROR(INDEX('📊 Dati BIA'!C6:C15,MATCH(LARGE('📊 Dati BIA'!J6:J15,6),'📊 Dati BIA'!J6:J15,0)),"")</f>
        <v>Finanziario</v>
      </c>
      <c r="D11" s="17" t="str">
        <f aca="false">IFERROR(INDEX('📊 Dati BIA'!D6:D15,MATCH(LARGE('📊 Dati BIA'!J6:J15,6),'📊 Dati BIA'!J6:J15,0)),"")</f>
        <v>€ migliaia</v>
      </c>
      <c r="E11" s="7" t="n">
        <f aca="false">IFERROR(INDEX('📊 Dati BIA'!E6:E15,MATCH(LARGE('📊 Dati BIA'!J6:J15,6),'📊 Dati BIA'!J6:J15,0)),"")</f>
        <v>25</v>
      </c>
      <c r="F11" s="28" t="n">
        <f aca="false">IFERROR(INDEX('📊 Dati BIA'!H6:H15,MATCH(LARGE('📊 Dati BIA'!J6:J15,6),'📊 Dati BIA'!J6:J15,0)),"")</f>
        <v>50</v>
      </c>
      <c r="G11" s="19" t="n">
        <f aca="false">IFERROR(INDEX('📊 Dati BIA'!I6:I15,MATCH(LARGE('📊 Dati BIA'!J6:J15,6),'📊 Dati BIA'!J6:J15,0)),"")</f>
        <v>-15</v>
      </c>
      <c r="H11" s="20" t="n">
        <f aca="false">IFERROR(INDEX('📊 Dati BIA'!J6:J15,MATCH(LARGE('📊 Dati BIA'!J6:J15,6),'📊 Dati BIA'!J6:J15,0)),"")</f>
        <v>65</v>
      </c>
      <c r="I11" s="29" t="n">
        <v>6</v>
      </c>
      <c r="J11" s="33" t="n">
        <f aca="false">IF(ISNUMBER(F11),F11,0)</f>
        <v>50</v>
      </c>
      <c r="K11" s="34" t="n">
        <f aca="false">IF(ISNUMBER(G11),G11,0)</f>
        <v>-15</v>
      </c>
    </row>
    <row r="12" customFormat="false" ht="21.75" hidden="false" customHeight="true" outlineLevel="0" collapsed="false">
      <c r="B12" s="27" t="str">
        <f aca="false">IFERROR(INDEX('📊 Dati BIA'!B6:B15,MATCH(LARGE('📊 Dati BIA'!J6:J15,7),'📊 Dati BIA'!J6:J15,0)),"")</f>
        <v>Tempo di ripristino sistemi IT</v>
      </c>
      <c r="C12" s="5" t="str">
        <f aca="false">IFERROR(INDEX('📊 Dati BIA'!C6:C15,MATCH(LARGE('📊 Dati BIA'!J6:J15,7),'📊 Dati BIA'!J6:J15,0)),"")</f>
        <v>Infrastruttura</v>
      </c>
      <c r="D12" s="6" t="str">
        <f aca="false">IFERROR(INDEX('📊 Dati BIA'!D6:D15,MATCH(LARGE('📊 Dati BIA'!J6:J15,7),'📊 Dati BIA'!J6:J15,0)),"")</f>
        <v>ore</v>
      </c>
      <c r="E12" s="7" t="n">
        <f aca="false">IFERROR(INDEX('📊 Dati BIA'!E6:E15,MATCH(LARGE('📊 Dati BIA'!J6:J15,7),'📊 Dati BIA'!J6:J15,0)),"")</f>
        <v>24</v>
      </c>
      <c r="F12" s="28" t="n">
        <f aca="false">IFERROR(INDEX('📊 Dati BIA'!H6:H15,MATCH(LARGE('📊 Dati BIA'!J6:J15,7),'📊 Dati BIA'!J6:J15,0)),"")</f>
        <v>48</v>
      </c>
      <c r="G12" s="19" t="n">
        <f aca="false">IFERROR(INDEX('📊 Dati BIA'!I6:I15,MATCH(LARGE('📊 Dati BIA'!J6:J15,7),'📊 Dati BIA'!J6:J15,0)),"")</f>
        <v>-16</v>
      </c>
      <c r="H12" s="12" t="n">
        <f aca="false">IFERROR(INDEX('📊 Dati BIA'!J6:J15,MATCH(LARGE('📊 Dati BIA'!J6:J15,7),'📊 Dati BIA'!J6:J15,0)),"")</f>
        <v>64</v>
      </c>
      <c r="I12" s="29" t="n">
        <v>7</v>
      </c>
      <c r="J12" s="30" t="n">
        <f aca="false">IF(ISNUMBER(F12),F12,0)</f>
        <v>48</v>
      </c>
      <c r="K12" s="31" t="n">
        <f aca="false">IF(ISNUMBER(G12),G12,0)</f>
        <v>-16</v>
      </c>
    </row>
    <row r="13" customFormat="false" ht="21.75" hidden="false" customHeight="true" outlineLevel="0" collapsed="false">
      <c r="B13" s="32" t="str">
        <f aca="false">IFERROR(INDEX('📊 Dati BIA'!B6:B15,MATCH(LARGE('📊 Dati BIA'!J6:J15,8),'📊 Dati BIA'!J6:J15,0)),"")</f>
        <v>Costi di conformità/notifica GDPR</v>
      </c>
      <c r="C13" s="16" t="str">
        <f aca="false">IFERROR(INDEX('📊 Dati BIA'!C6:C15,MATCH(LARGE('📊 Dati BIA'!J6:J15,8),'📊 Dati BIA'!J6:J15,0)),"")</f>
        <v>Legale/Compliance</v>
      </c>
      <c r="D13" s="17" t="str">
        <f aca="false">IFERROR(INDEX('📊 Dati BIA'!D6:D15,MATCH(LARGE('📊 Dati BIA'!J6:J15,8),'📊 Dati BIA'!J6:J15,0)),"")</f>
        <v>€ migliaia</v>
      </c>
      <c r="E13" s="7" t="n">
        <f aca="false">IFERROR(INDEX('📊 Dati BIA'!E6:E15,MATCH(LARGE('📊 Dati BIA'!J6:J15,8),'📊 Dati BIA'!J6:J15,0)),"")</f>
        <v>8</v>
      </c>
      <c r="F13" s="28" t="n">
        <f aca="false">IFERROR(INDEX('📊 Dati BIA'!H6:H15,MATCH(LARGE('📊 Dati BIA'!J6:J15,8),'📊 Dati BIA'!J6:J15,0)),"")</f>
        <v>42</v>
      </c>
      <c r="G13" s="19" t="n">
        <f aca="false">IFERROR(INDEX('📊 Dati BIA'!I6:I15,MATCH(LARGE('📊 Dati BIA'!J6:J15,8),'📊 Dati BIA'!J6:J15,0)),"")</f>
        <v>-6</v>
      </c>
      <c r="H13" s="20" t="n">
        <f aca="false">IFERROR(INDEX('📊 Dati BIA'!J6:J15,MATCH(LARGE('📊 Dati BIA'!J6:J15,8),'📊 Dati BIA'!J6:J15,0)),"")</f>
        <v>48</v>
      </c>
      <c r="I13" s="29" t="n">
        <v>8</v>
      </c>
      <c r="J13" s="33" t="n">
        <f aca="false">IF(ISNUMBER(F13),F13,0)</f>
        <v>42</v>
      </c>
      <c r="K13" s="34" t="n">
        <f aca="false">IF(ISNUMBER(G13),G13,0)</f>
        <v>-6</v>
      </c>
    </row>
    <row r="14" customFormat="false" ht="21.75" hidden="false" customHeight="true" outlineLevel="0" collapsed="false">
      <c r="B14" s="27" t="str">
        <f aca="false">IFERROR(INDEX('📊 Dati BIA'!B6:B15,MATCH(LARGE('📊 Dati BIA'!J6:J15,9),'📊 Dati BIA'!J6:J15,0)),"")</f>
        <v>Impatto reputazionale (NPS drop)</v>
      </c>
      <c r="C14" s="5" t="str">
        <f aca="false">IFERROR(INDEX('📊 Dati BIA'!C6:C15,MATCH(LARGE('📊 Dati BIA'!J6:J15,9),'📊 Dati BIA'!J6:J15,0)),"")</f>
        <v>Clienti</v>
      </c>
      <c r="D14" s="6" t="str">
        <f aca="false">IFERROR(INDEX('📊 Dati BIA'!D6:D15,MATCH(LARGE('📊 Dati BIA'!J6:J15,9),'📊 Dati BIA'!J6:J15,0)),"")</f>
        <v>punti NPS</v>
      </c>
      <c r="E14" s="7" t="n">
        <f aca="false">IFERROR(INDEX('📊 Dati BIA'!E6:E15,MATCH(LARGE('📊 Dati BIA'!J6:J15,9),'📊 Dati BIA'!J6:J15,0)),"")</f>
        <v>-5</v>
      </c>
      <c r="F14" s="28" t="n">
        <f aca="false">IFERROR(INDEX('📊 Dati BIA'!H6:H15,MATCH(LARGE('📊 Dati BIA'!J6:J15,9),'📊 Dati BIA'!J6:J15,0)),"")</f>
        <v>-13</v>
      </c>
      <c r="G14" s="19" t="n">
        <f aca="false">IFERROR(INDEX('📊 Dati BIA'!I6:I15,MATCH(LARGE('📊 Dati BIA'!J6:J15,9),'📊 Dati BIA'!J6:J15,0)),"")</f>
        <v>4</v>
      </c>
      <c r="H14" s="12" t="n">
        <f aca="false">IFERROR(INDEX('📊 Dati BIA'!J6:J15,MATCH(LARGE('📊 Dati BIA'!J6:J15,9),'📊 Dati BIA'!J6:J15,0)),"")</f>
        <v>17</v>
      </c>
      <c r="I14" s="29" t="n">
        <v>9</v>
      </c>
      <c r="J14" s="30" t="n">
        <f aca="false">IF(ISNUMBER(F14),F14,0)</f>
        <v>-13</v>
      </c>
      <c r="K14" s="31" t="n">
        <f aca="false">IF(ISNUMBER(G14),G14,0)</f>
        <v>4</v>
      </c>
    </row>
    <row r="15" customFormat="false" ht="21.75" hidden="false" customHeight="true" outlineLevel="0" collapsed="false">
      <c r="B15" s="32" t="str">
        <f aca="false">IFERROR(INDEX('📊 Dati BIA'!B6:B15,MATCH(LARGE('📊 Dati BIA'!J6:J15,10),'📊 Dati BIA'!J6:J15,0)),"")</f>
        <v>Durata interruzione supply chain</v>
      </c>
      <c r="C15" s="16" t="str">
        <f aca="false">IFERROR(INDEX('📊 Dati BIA'!C6:C15,MATCH(LARGE('📊 Dati BIA'!J6:J15,10),'📊 Dati BIA'!J6:J15,0)),"")</f>
        <v>Operativo</v>
      </c>
      <c r="D15" s="17" t="str">
        <f aca="false">IFERROR(INDEX('📊 Dati BIA'!D6:D15,MATCH(LARGE('📊 Dati BIA'!J6:J15,10),'📊 Dati BIA'!J6:J15,0)),"")</f>
        <v>giorni</v>
      </c>
      <c r="E15" s="7" t="n">
        <f aca="false">IFERROR(INDEX('📊 Dati BIA'!E6:E15,MATCH(LARGE('📊 Dati BIA'!J6:J15,10),'📊 Dati BIA'!J6:J15,0)),"")</f>
        <v>3</v>
      </c>
      <c r="F15" s="28" t="n">
        <f aca="false">IFERROR(INDEX('📊 Dati BIA'!H6:H15,MATCH(LARGE('📊 Dati BIA'!J6:J15,10),'📊 Dati BIA'!J6:J15,0)),"")</f>
        <v>4</v>
      </c>
      <c r="G15" s="19" t="n">
        <f aca="false">IFERROR(INDEX('📊 Dati BIA'!I6:I15,MATCH(LARGE('📊 Dati BIA'!J6:J15,10),'📊 Dati BIA'!J6:J15,0)),"")</f>
        <v>-2</v>
      </c>
      <c r="H15" s="20" t="n">
        <f aca="false">IFERROR(INDEX('📊 Dati BIA'!J6:J15,MATCH(LARGE('📊 Dati BIA'!J6:J15,10),'📊 Dati BIA'!J6:J15,0)),"")</f>
        <v>6</v>
      </c>
      <c r="I15" s="29" t="n">
        <v>10</v>
      </c>
      <c r="J15" s="33" t="n">
        <f aca="false">IF(ISNUMBER(F15),F15,0)</f>
        <v>4</v>
      </c>
      <c r="K15" s="34" t="n">
        <f aca="false">IF(ISNUMBER(G15),G15,0)</f>
        <v>-2</v>
      </c>
    </row>
  </sheetData>
  <mergeCells count="2">
    <mergeCell ref="B2:K2"/>
    <mergeCell ref="B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4B2F"/>
    <pageSetUpPr fitToPage="false"/>
  </sheetPr>
  <dimension ref="B1:M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4" min="3" style="0" width="16"/>
    <col collapsed="false" customWidth="true" hidden="false" outlineLevel="0" max="5" min="5" style="0" width="18"/>
  </cols>
  <sheetData>
    <row r="1" customFormat="false" ht="6" hidden="false" customHeight="true" outlineLevel="0" collapsed="false"/>
    <row r="2" customFormat="false" ht="36" hidden="false" customHeight="true" outlineLevel="0" collapsed="false">
      <c r="B2" s="1" t="s">
        <v>56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21.75" hidden="false" customHeight="true" outlineLevel="0" collapsed="false">
      <c r="B3" s="2" t="s">
        <v>57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7.5" hidden="false" customHeight="true" outlineLevel="0" collapsed="false"/>
    <row r="5" customFormat="false" ht="18" hidden="false" customHeight="true" outlineLevel="0" collapsed="false">
      <c r="B5" s="35" t="s">
        <v>58</v>
      </c>
      <c r="C5" s="36" t="n">
        <f aca="false">COUNTA('⚙️ Calcoli Tornado'!B6:B15)</f>
        <v>10</v>
      </c>
      <c r="E5" s="35" t="s">
        <v>59</v>
      </c>
      <c r="F5" s="37" t="str">
        <f aca="false">'⚙️ Calcoli Tornado'!B6</f>
        <v>Numero clienti impattati</v>
      </c>
      <c r="I5" s="35" t="s">
        <v>60</v>
      </c>
      <c r="J5" s="38" t="n">
        <f aca="false">'⚙️ Calcoli Tornado'!H6</f>
        <v>1700</v>
      </c>
    </row>
    <row r="6" customFormat="false" ht="27.75" hidden="false" customHeight="true" outlineLevel="0" collapsed="false"/>
    <row r="7" customFormat="false" ht="9.75" hidden="false" customHeight="true" outlineLevel="0" collapsed="false"/>
    <row r="8" customFormat="false" ht="36" hidden="false" customHeight="true" outlineLevel="0" collapsed="false">
      <c r="B8" s="39" t="s">
        <v>61</v>
      </c>
      <c r="C8" s="39" t="s">
        <v>62</v>
      </c>
      <c r="D8" s="39" t="s">
        <v>63</v>
      </c>
      <c r="E8" s="39" t="s">
        <v>64</v>
      </c>
    </row>
    <row r="9" customFormat="false" ht="21.75" hidden="false" customHeight="true" outlineLevel="0" collapsed="false">
      <c r="B9" s="40" t="str">
        <f aca="false">'⚙️ Calcoli Tornado'!B6</f>
        <v>Numero clienti impattati</v>
      </c>
      <c r="C9" s="41" t="n">
        <f aca="false">'⚙️ Calcoli Tornado'!J6</f>
        <v>1300</v>
      </c>
      <c r="D9" s="42" t="n">
        <f aca="false">'⚙️ Calcoli Tornado'!K6</f>
        <v>-400</v>
      </c>
      <c r="E9" s="43" t="n">
        <f aca="false">'⚙️ Calcoli Tornado'!H6</f>
        <v>1700</v>
      </c>
    </row>
    <row r="10" customFormat="false" ht="21.75" hidden="false" customHeight="true" outlineLevel="0" collapsed="false">
      <c r="B10" s="44" t="str">
        <f aca="false">'⚙️ Calcoli Tornado'!B7</f>
        <v>Ore lavoro perse (dipendenti)</v>
      </c>
      <c r="C10" s="45" t="n">
        <f aca="false">'⚙️ Calcoli Tornado'!J7</f>
        <v>320</v>
      </c>
      <c r="D10" s="46" t="n">
        <f aca="false">'⚙️ Calcoli Tornado'!K7</f>
        <v>-120</v>
      </c>
      <c r="E10" s="47" t="n">
        <f aca="false">'⚙️ Calcoli Tornado'!H7</f>
        <v>440</v>
      </c>
    </row>
    <row r="11" customFormat="false" ht="21.75" hidden="false" customHeight="true" outlineLevel="0" collapsed="false">
      <c r="B11" s="40" t="str">
        <f aca="false">'⚙️ Calcoli Tornado'!B8</f>
        <v>Perdita di ricavi giornalieri</v>
      </c>
      <c r="C11" s="41" t="n">
        <f aca="false">'⚙️ Calcoli Tornado'!J8</f>
        <v>170</v>
      </c>
      <c r="D11" s="42" t="n">
        <f aca="false">'⚙️ Calcoli Tornado'!K8</f>
        <v>-90</v>
      </c>
      <c r="E11" s="43" t="n">
        <f aca="false">'⚙️ Calcoli Tornado'!H8</f>
        <v>260</v>
      </c>
    </row>
    <row r="12" customFormat="false" ht="21.75" hidden="false" customHeight="true" outlineLevel="0" collapsed="false">
      <c r="B12" s="44" t="str">
        <f aca="false">'⚙️ Calcoli Tornado'!B9</f>
        <v>Costi di recupero dati</v>
      </c>
      <c r="C12" s="45" t="n">
        <f aca="false">'⚙️ Calcoli Tornado'!J9</f>
        <v>75</v>
      </c>
      <c r="D12" s="46" t="n">
        <f aca="false">'⚙️ Calcoli Tornado'!K9</f>
        <v>-25</v>
      </c>
      <c r="E12" s="47" t="n">
        <f aca="false">'⚙️ Calcoli Tornado'!H9</f>
        <v>100</v>
      </c>
    </row>
    <row r="13" customFormat="false" ht="21.75" hidden="false" customHeight="true" outlineLevel="0" collapsed="false">
      <c r="B13" s="40" t="str">
        <f aca="false">'⚙️ Calcoli Tornado'!B10</f>
        <v>Penali contrattuali SLA</v>
      </c>
      <c r="C13" s="41" t="n">
        <f aca="false">'⚙️ Calcoli Tornado'!J10</f>
        <v>70</v>
      </c>
      <c r="D13" s="42" t="n">
        <f aca="false">'⚙️ Calcoli Tornado'!K10</f>
        <v>-10</v>
      </c>
      <c r="E13" s="43" t="n">
        <f aca="false">'⚙️ Calcoli Tornado'!H10</f>
        <v>80</v>
      </c>
    </row>
    <row r="14" customFormat="false" ht="21.75" hidden="false" customHeight="true" outlineLevel="0" collapsed="false">
      <c r="B14" s="44" t="str">
        <f aca="false">'⚙️ Calcoli Tornado'!B11</f>
        <v>Costo risposta all'incidente</v>
      </c>
      <c r="C14" s="45" t="n">
        <f aca="false">'⚙️ Calcoli Tornado'!J11</f>
        <v>50</v>
      </c>
      <c r="D14" s="46" t="n">
        <f aca="false">'⚙️ Calcoli Tornado'!K11</f>
        <v>-15</v>
      </c>
      <c r="E14" s="47" t="n">
        <f aca="false">'⚙️ Calcoli Tornado'!H11</f>
        <v>65</v>
      </c>
    </row>
    <row r="15" customFormat="false" ht="21.75" hidden="false" customHeight="true" outlineLevel="0" collapsed="false">
      <c r="B15" s="40" t="str">
        <f aca="false">'⚙️ Calcoli Tornado'!B12</f>
        <v>Tempo di ripristino sistemi IT</v>
      </c>
      <c r="C15" s="41" t="n">
        <f aca="false">'⚙️ Calcoli Tornado'!J12</f>
        <v>48</v>
      </c>
      <c r="D15" s="42" t="n">
        <f aca="false">'⚙️ Calcoli Tornado'!K12</f>
        <v>-16</v>
      </c>
      <c r="E15" s="43" t="n">
        <f aca="false">'⚙️ Calcoli Tornado'!H12</f>
        <v>64</v>
      </c>
    </row>
    <row r="16" customFormat="false" ht="21.75" hidden="false" customHeight="true" outlineLevel="0" collapsed="false">
      <c r="B16" s="44" t="str">
        <f aca="false">'⚙️ Calcoli Tornado'!B13</f>
        <v>Costi di conformità/notifica GDPR</v>
      </c>
      <c r="C16" s="45" t="n">
        <f aca="false">'⚙️ Calcoli Tornado'!J13</f>
        <v>42</v>
      </c>
      <c r="D16" s="46" t="n">
        <f aca="false">'⚙️ Calcoli Tornado'!K13</f>
        <v>-6</v>
      </c>
      <c r="E16" s="47" t="n">
        <f aca="false">'⚙️ Calcoli Tornado'!H13</f>
        <v>48</v>
      </c>
    </row>
    <row r="17" customFormat="false" ht="21.75" hidden="false" customHeight="true" outlineLevel="0" collapsed="false">
      <c r="B17" s="40" t="str">
        <f aca="false">'⚙️ Calcoli Tornado'!B14</f>
        <v>Impatto reputazionale (NPS drop)</v>
      </c>
      <c r="C17" s="41" t="n">
        <f aca="false">'⚙️ Calcoli Tornado'!J14</f>
        <v>-13</v>
      </c>
      <c r="D17" s="42" t="n">
        <f aca="false">'⚙️ Calcoli Tornado'!K14</f>
        <v>4</v>
      </c>
      <c r="E17" s="43" t="n">
        <f aca="false">'⚙️ Calcoli Tornado'!H14</f>
        <v>17</v>
      </c>
    </row>
    <row r="18" customFormat="false" ht="21.75" hidden="false" customHeight="true" outlineLevel="0" collapsed="false">
      <c r="B18" s="44" t="str">
        <f aca="false">'⚙️ Calcoli Tornado'!B15</f>
        <v>Durata interruzione supply chain</v>
      </c>
      <c r="C18" s="45" t="n">
        <f aca="false">'⚙️ Calcoli Tornado'!J15</f>
        <v>4</v>
      </c>
      <c r="D18" s="46" t="n">
        <f aca="false">'⚙️ Calcoli Tornado'!K15</f>
        <v>-2</v>
      </c>
      <c r="E18" s="47" t="n">
        <f aca="false">'⚙️ Calcoli Tornado'!H15</f>
        <v>6</v>
      </c>
    </row>
  </sheetData>
  <mergeCells count="2">
    <mergeCell ref="B2:M2"/>
    <mergeCell ref="B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553"/>
    <pageSetUpPr fitToPage="false"/>
  </sheetPr>
  <dimension ref="C1:K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"/>
    <col collapsed="false" customWidth="true" hidden="false" outlineLevel="0" max="3" min="3" style="0" width="60"/>
    <col collapsed="false" customWidth="true" hidden="false" outlineLevel="0" max="4" min="4" style="0" width="5"/>
  </cols>
  <sheetData>
    <row r="1" customFormat="false" ht="6" hidden="false" customHeight="true" outlineLevel="0" collapsed="false"/>
    <row r="2" customFormat="false" ht="39.75" hidden="false" customHeight="true" outlineLevel="0" collapsed="false">
      <c r="C2" s="48" t="s">
        <v>65</v>
      </c>
      <c r="D2" s="48"/>
      <c r="E2" s="48"/>
      <c r="F2" s="48"/>
      <c r="G2" s="48"/>
      <c r="H2" s="48"/>
      <c r="I2" s="48"/>
      <c r="J2" s="48"/>
      <c r="K2" s="48"/>
    </row>
    <row r="3" customFormat="false" ht="7.5" hidden="false" customHeight="true" outlineLevel="0" collapsed="false"/>
    <row r="4" customFormat="false" ht="25.5" hidden="false" customHeight="true" outlineLevel="0" collapsed="false">
      <c r="C4" s="49" t="s">
        <v>66</v>
      </c>
      <c r="D4" s="49"/>
      <c r="E4" s="49"/>
      <c r="F4" s="49"/>
      <c r="G4" s="49"/>
      <c r="H4" s="49"/>
      <c r="I4" s="49"/>
      <c r="J4" s="49"/>
      <c r="K4" s="49"/>
    </row>
    <row r="5" customFormat="false" ht="21.75" hidden="false" customHeight="true" outlineLevel="0" collapsed="false">
      <c r="C5" s="50" t="s">
        <v>67</v>
      </c>
      <c r="D5" s="50"/>
      <c r="E5" s="50"/>
      <c r="F5" s="50"/>
      <c r="G5" s="50"/>
      <c r="H5" s="50"/>
      <c r="I5" s="50"/>
      <c r="J5" s="50"/>
      <c r="K5" s="50"/>
    </row>
    <row r="6" customFormat="false" ht="21.75" hidden="false" customHeight="true" outlineLevel="0" collapsed="false">
      <c r="C6" s="50" t="s">
        <v>68</v>
      </c>
      <c r="D6" s="50"/>
      <c r="E6" s="50"/>
      <c r="F6" s="50"/>
      <c r="G6" s="50"/>
      <c r="H6" s="50"/>
      <c r="I6" s="50"/>
      <c r="J6" s="50"/>
      <c r="K6" s="50"/>
    </row>
    <row r="7" customFormat="false" ht="21.75" hidden="false" customHeight="true" outlineLevel="0" collapsed="false">
      <c r="C7" s="50" t="s">
        <v>69</v>
      </c>
      <c r="D7" s="50"/>
      <c r="E7" s="50"/>
      <c r="F7" s="50"/>
      <c r="G7" s="50"/>
      <c r="H7" s="50"/>
      <c r="I7" s="50"/>
      <c r="J7" s="50"/>
      <c r="K7" s="50"/>
    </row>
    <row r="8" customFormat="false" ht="9.75" hidden="false" customHeight="true" outlineLevel="0" collapsed="false"/>
    <row r="9" customFormat="false" ht="25.5" hidden="false" customHeight="true" outlineLevel="0" collapsed="false">
      <c r="C9" s="49" t="s">
        <v>70</v>
      </c>
      <c r="D9" s="49"/>
      <c r="E9" s="49"/>
      <c r="F9" s="49"/>
      <c r="G9" s="49"/>
      <c r="H9" s="49"/>
      <c r="I9" s="49"/>
      <c r="J9" s="49"/>
      <c r="K9" s="49"/>
    </row>
    <row r="10" customFormat="false" ht="19.5" hidden="false" customHeight="true" outlineLevel="0" collapsed="false">
      <c r="C10" s="50" t="s">
        <v>71</v>
      </c>
      <c r="D10" s="50"/>
      <c r="E10" s="50"/>
      <c r="F10" s="50"/>
      <c r="G10" s="50"/>
      <c r="H10" s="50"/>
      <c r="I10" s="50"/>
      <c r="J10" s="50"/>
      <c r="K10" s="50"/>
    </row>
    <row r="11" customFormat="false" ht="19.5" hidden="false" customHeight="true" outlineLevel="0" collapsed="false">
      <c r="C11" s="50" t="s">
        <v>72</v>
      </c>
      <c r="D11" s="50"/>
      <c r="E11" s="50"/>
      <c r="F11" s="50"/>
      <c r="G11" s="50"/>
      <c r="H11" s="50"/>
      <c r="I11" s="50"/>
      <c r="J11" s="50"/>
      <c r="K11" s="50"/>
    </row>
    <row r="12" customFormat="false" ht="19.5" hidden="false" customHeight="true" outlineLevel="0" collapsed="false">
      <c r="C12" s="50" t="s">
        <v>73</v>
      </c>
      <c r="D12" s="50"/>
      <c r="E12" s="50"/>
      <c r="F12" s="50"/>
      <c r="G12" s="50"/>
      <c r="H12" s="50"/>
      <c r="I12" s="50"/>
      <c r="J12" s="50"/>
      <c r="K12" s="50"/>
    </row>
    <row r="13" customFormat="false" ht="19.5" hidden="false" customHeight="true" outlineLevel="0" collapsed="false">
      <c r="C13" s="50" t="s">
        <v>74</v>
      </c>
      <c r="D13" s="50"/>
      <c r="E13" s="50"/>
      <c r="F13" s="50"/>
      <c r="G13" s="50"/>
      <c r="H13" s="50"/>
      <c r="I13" s="50"/>
      <c r="J13" s="50"/>
      <c r="K13" s="50"/>
    </row>
    <row r="14" customFormat="false" ht="19.5" hidden="false" customHeight="true" outlineLevel="0" collapsed="false">
      <c r="C14" s="50" t="s">
        <v>75</v>
      </c>
      <c r="D14" s="50"/>
      <c r="E14" s="50"/>
      <c r="F14" s="50"/>
      <c r="G14" s="50"/>
      <c r="H14" s="50"/>
      <c r="I14" s="50"/>
      <c r="J14" s="50"/>
      <c r="K14" s="50"/>
    </row>
    <row r="15" customFormat="false" ht="19.5" hidden="false" customHeight="true" outlineLevel="0" collapsed="false">
      <c r="C15" s="50" t="s">
        <v>76</v>
      </c>
      <c r="D15" s="50"/>
      <c r="E15" s="50"/>
      <c r="F15" s="50"/>
      <c r="G15" s="50"/>
      <c r="H15" s="50"/>
      <c r="I15" s="50"/>
      <c r="J15" s="50"/>
      <c r="K15" s="50"/>
    </row>
    <row r="16" customFormat="false" ht="19.5" hidden="false" customHeight="true" outlineLevel="0" collapsed="false">
      <c r="C16" s="50" t="s">
        <v>77</v>
      </c>
      <c r="D16" s="50"/>
      <c r="E16" s="50"/>
      <c r="F16" s="50"/>
      <c r="G16" s="50"/>
      <c r="H16" s="50"/>
      <c r="I16" s="50"/>
      <c r="J16" s="50"/>
      <c r="K16" s="50"/>
    </row>
    <row r="17" customFormat="false" ht="19.5" hidden="false" customHeight="true" outlineLevel="0" collapsed="false">
      <c r="C17" s="50" t="s">
        <v>78</v>
      </c>
      <c r="D17" s="50"/>
      <c r="E17" s="50"/>
      <c r="F17" s="50"/>
      <c r="G17" s="50"/>
      <c r="H17" s="50"/>
      <c r="I17" s="50"/>
      <c r="J17" s="50"/>
      <c r="K17" s="50"/>
    </row>
    <row r="18" customFormat="false" ht="19.5" hidden="false" customHeight="true" outlineLevel="0" collapsed="false">
      <c r="C18" s="50" t="s">
        <v>79</v>
      </c>
      <c r="D18" s="50"/>
      <c r="E18" s="50"/>
      <c r="F18" s="50"/>
      <c r="G18" s="50"/>
      <c r="H18" s="50"/>
      <c r="I18" s="50"/>
      <c r="J18" s="50"/>
      <c r="K18" s="50"/>
    </row>
    <row r="19" customFormat="false" ht="9.75" hidden="false" customHeight="true" outlineLevel="0" collapsed="false"/>
    <row r="20" customFormat="false" ht="25.5" hidden="false" customHeight="true" outlineLevel="0" collapsed="false">
      <c r="C20" s="49" t="s">
        <v>80</v>
      </c>
      <c r="D20" s="49"/>
      <c r="E20" s="49"/>
      <c r="F20" s="49"/>
      <c r="G20" s="49"/>
      <c r="H20" s="49"/>
      <c r="I20" s="49"/>
      <c r="J20" s="49"/>
      <c r="K20" s="49"/>
    </row>
    <row r="21" customFormat="false" ht="19.5" hidden="false" customHeight="true" outlineLevel="0" collapsed="false">
      <c r="C21" s="50" t="s">
        <v>81</v>
      </c>
      <c r="D21" s="50"/>
      <c r="E21" s="50"/>
      <c r="F21" s="50"/>
      <c r="G21" s="50"/>
      <c r="H21" s="50"/>
      <c r="I21" s="50"/>
      <c r="J21" s="50"/>
      <c r="K21" s="50"/>
    </row>
    <row r="22" customFormat="false" ht="19.5" hidden="false" customHeight="true" outlineLevel="0" collapsed="false">
      <c r="C22" s="50" t="s">
        <v>82</v>
      </c>
      <c r="D22" s="50"/>
      <c r="E22" s="50"/>
      <c r="F22" s="50"/>
      <c r="G22" s="50"/>
      <c r="H22" s="50"/>
      <c r="I22" s="50"/>
      <c r="J22" s="50"/>
      <c r="K22" s="50"/>
    </row>
    <row r="23" customFormat="false" ht="19.5" hidden="false" customHeight="true" outlineLevel="0" collapsed="false">
      <c r="C23" s="50" t="s">
        <v>83</v>
      </c>
      <c r="D23" s="50"/>
      <c r="E23" s="50"/>
      <c r="F23" s="50"/>
      <c r="G23" s="50"/>
      <c r="H23" s="50"/>
      <c r="I23" s="50"/>
      <c r="J23" s="50"/>
      <c r="K23" s="50"/>
    </row>
    <row r="24" customFormat="false" ht="19.5" hidden="false" customHeight="true" outlineLevel="0" collapsed="false">
      <c r="C24" s="50" t="s">
        <v>84</v>
      </c>
      <c r="D24" s="50"/>
      <c r="E24" s="50"/>
      <c r="F24" s="50"/>
      <c r="G24" s="50"/>
      <c r="H24" s="50"/>
      <c r="I24" s="50"/>
      <c r="J24" s="50"/>
      <c r="K24" s="50"/>
    </row>
    <row r="25" customFormat="false" ht="19.5" hidden="false" customHeight="true" outlineLevel="0" collapsed="false">
      <c r="C25" s="50" t="s">
        <v>85</v>
      </c>
      <c r="D25" s="50"/>
      <c r="E25" s="50"/>
      <c r="F25" s="50"/>
      <c r="G25" s="50"/>
      <c r="H25" s="50"/>
      <c r="I25" s="50"/>
      <c r="J25" s="50"/>
      <c r="K25" s="50"/>
    </row>
    <row r="26" customFormat="false" ht="19.5" hidden="false" customHeight="true" outlineLevel="0" collapsed="false">
      <c r="C26" s="50" t="s">
        <v>86</v>
      </c>
      <c r="D26" s="50"/>
      <c r="E26" s="50"/>
      <c r="F26" s="50"/>
      <c r="G26" s="50"/>
      <c r="H26" s="50"/>
      <c r="I26" s="50"/>
      <c r="J26" s="50"/>
      <c r="K26" s="50"/>
    </row>
    <row r="27" customFormat="false" ht="9.75" hidden="false" customHeight="true" outlineLevel="0" collapsed="false"/>
    <row r="28" customFormat="false" ht="25.5" hidden="false" customHeight="true" outlineLevel="0" collapsed="false">
      <c r="C28" s="49" t="s">
        <v>87</v>
      </c>
      <c r="D28" s="49"/>
      <c r="E28" s="49"/>
      <c r="F28" s="49"/>
      <c r="G28" s="49"/>
      <c r="H28" s="49"/>
      <c r="I28" s="49"/>
      <c r="J28" s="49"/>
      <c r="K28" s="49"/>
    </row>
    <row r="29" customFormat="false" ht="21.75" hidden="false" customHeight="true" outlineLevel="0" collapsed="false">
      <c r="C29" s="50" t="s">
        <v>88</v>
      </c>
      <c r="D29" s="50"/>
      <c r="E29" s="50"/>
      <c r="F29" s="50"/>
      <c r="G29" s="50"/>
      <c r="H29" s="50"/>
      <c r="I29" s="50"/>
      <c r="J29" s="50"/>
      <c r="K29" s="50"/>
    </row>
    <row r="30" customFormat="false" ht="21.75" hidden="false" customHeight="true" outlineLevel="0" collapsed="false">
      <c r="C30" s="50" t="s">
        <v>89</v>
      </c>
      <c r="D30" s="50"/>
      <c r="E30" s="50"/>
      <c r="F30" s="50"/>
      <c r="G30" s="50"/>
      <c r="H30" s="50"/>
      <c r="I30" s="50"/>
      <c r="J30" s="50"/>
      <c r="K30" s="50"/>
    </row>
    <row r="31" customFormat="false" ht="21.75" hidden="false" customHeight="true" outlineLevel="0" collapsed="false">
      <c r="C31" s="50" t="s">
        <v>90</v>
      </c>
      <c r="D31" s="50"/>
      <c r="E31" s="50"/>
      <c r="F31" s="50"/>
      <c r="G31" s="50"/>
      <c r="H31" s="50"/>
      <c r="I31" s="50"/>
      <c r="J31" s="50"/>
      <c r="K31" s="50"/>
    </row>
    <row r="32" customFormat="false" ht="21.75" hidden="false" customHeight="true" outlineLevel="0" collapsed="false">
      <c r="C32" s="50" t="s">
        <v>91</v>
      </c>
      <c r="D32" s="50"/>
      <c r="E32" s="50"/>
      <c r="F32" s="50"/>
      <c r="G32" s="50"/>
      <c r="H32" s="50"/>
      <c r="I32" s="50"/>
      <c r="J32" s="50"/>
      <c r="K32" s="50"/>
    </row>
    <row r="33" customFormat="false" ht="9.75" hidden="false" customHeight="true" outlineLevel="0" collapsed="false"/>
    <row r="34" customFormat="false" ht="25.5" hidden="false" customHeight="true" outlineLevel="0" collapsed="false">
      <c r="C34" s="49" t="s">
        <v>92</v>
      </c>
      <c r="D34" s="49"/>
      <c r="E34" s="49"/>
      <c r="F34" s="49"/>
      <c r="G34" s="49"/>
      <c r="H34" s="49"/>
      <c r="I34" s="49"/>
      <c r="J34" s="49"/>
      <c r="K34" s="49"/>
    </row>
    <row r="35" customFormat="false" ht="21.75" hidden="false" customHeight="true" outlineLevel="0" collapsed="false">
      <c r="C35" s="51" t="s">
        <v>93</v>
      </c>
      <c r="D35" s="51"/>
      <c r="E35" s="51"/>
      <c r="F35" s="51"/>
      <c r="G35" s="51"/>
      <c r="H35" s="51"/>
      <c r="I35" s="51"/>
      <c r="J35" s="51"/>
      <c r="K35" s="51"/>
    </row>
    <row r="36" customFormat="false" ht="21.75" hidden="false" customHeight="true" outlineLevel="0" collapsed="false">
      <c r="C36" s="51" t="s">
        <v>94</v>
      </c>
      <c r="D36" s="51"/>
      <c r="E36" s="51"/>
      <c r="F36" s="51"/>
      <c r="G36" s="51"/>
      <c r="H36" s="51"/>
      <c r="I36" s="51"/>
      <c r="J36" s="51"/>
      <c r="K36" s="51"/>
    </row>
    <row r="37" customFormat="false" ht="21.75" hidden="false" customHeight="true" outlineLevel="0" collapsed="false">
      <c r="C37" s="51" t="s">
        <v>95</v>
      </c>
      <c r="D37" s="51"/>
      <c r="E37" s="51"/>
      <c r="F37" s="51"/>
      <c r="G37" s="51"/>
      <c r="H37" s="51"/>
      <c r="I37" s="51"/>
      <c r="J37" s="51"/>
      <c r="K37" s="51"/>
    </row>
    <row r="38" customFormat="false" ht="21.75" hidden="false" customHeight="true" outlineLevel="0" collapsed="false">
      <c r="C38" s="51" t="s">
        <v>96</v>
      </c>
      <c r="D38" s="51"/>
      <c r="E38" s="51"/>
      <c r="F38" s="51"/>
      <c r="G38" s="51"/>
      <c r="H38" s="51"/>
      <c r="I38" s="51"/>
      <c r="J38" s="51"/>
      <c r="K38" s="51"/>
    </row>
    <row r="39" customFormat="false" ht="9.75" hidden="false" customHeight="true" outlineLevel="0" collapsed="false"/>
    <row r="40" customFormat="false" ht="25.5" hidden="false" customHeight="true" outlineLevel="0" collapsed="false">
      <c r="C40" s="49" t="s">
        <v>97</v>
      </c>
      <c r="D40" s="49"/>
      <c r="E40" s="49"/>
      <c r="F40" s="49"/>
      <c r="G40" s="49"/>
      <c r="H40" s="49"/>
      <c r="I40" s="49"/>
      <c r="J40" s="49"/>
      <c r="K40" s="49"/>
    </row>
    <row r="41" customFormat="false" ht="19.5" hidden="false" customHeight="true" outlineLevel="0" collapsed="false">
      <c r="C41" s="52" t="s">
        <v>98</v>
      </c>
      <c r="D41" s="52"/>
      <c r="E41" s="52"/>
      <c r="F41" s="52"/>
      <c r="G41" s="52"/>
      <c r="H41" s="52"/>
      <c r="I41" s="52"/>
      <c r="J41" s="52"/>
      <c r="K41" s="52"/>
    </row>
    <row r="42" customFormat="false" ht="19.5" hidden="false" customHeight="true" outlineLevel="0" collapsed="false">
      <c r="C42" s="53" t="s">
        <v>99</v>
      </c>
      <c r="D42" s="53"/>
      <c r="E42" s="53"/>
      <c r="F42" s="53"/>
      <c r="G42" s="53"/>
      <c r="H42" s="53"/>
      <c r="I42" s="53"/>
      <c r="J42" s="53"/>
      <c r="K42" s="53"/>
    </row>
    <row r="43" customFormat="false" ht="19.5" hidden="false" customHeight="true" outlineLevel="0" collapsed="false">
      <c r="C43" s="52" t="s">
        <v>100</v>
      </c>
      <c r="D43" s="52"/>
      <c r="E43" s="52"/>
      <c r="F43" s="52"/>
      <c r="G43" s="52"/>
      <c r="H43" s="52"/>
      <c r="I43" s="52"/>
      <c r="J43" s="52"/>
      <c r="K43" s="52"/>
    </row>
    <row r="44" customFormat="false" ht="19.5" hidden="false" customHeight="true" outlineLevel="0" collapsed="false">
      <c r="C44" s="53" t="s">
        <v>101</v>
      </c>
      <c r="D44" s="53"/>
      <c r="E44" s="53"/>
      <c r="F44" s="53"/>
      <c r="G44" s="53"/>
      <c r="H44" s="53"/>
      <c r="I44" s="53"/>
      <c r="J44" s="53"/>
      <c r="K44" s="53"/>
    </row>
    <row r="45" customFormat="false" ht="19.5" hidden="false" customHeight="true" outlineLevel="0" collapsed="false">
      <c r="C45" s="52" t="s">
        <v>102</v>
      </c>
      <c r="D45" s="52"/>
      <c r="E45" s="52"/>
      <c r="F45" s="52"/>
      <c r="G45" s="52"/>
      <c r="H45" s="52"/>
      <c r="I45" s="52"/>
      <c r="J45" s="52"/>
      <c r="K45" s="52"/>
    </row>
    <row r="46" customFormat="false" ht="19.5" hidden="false" customHeight="true" outlineLevel="0" collapsed="false">
      <c r="C46" s="53" t="s">
        <v>103</v>
      </c>
      <c r="D46" s="53"/>
      <c r="E46" s="53"/>
      <c r="F46" s="53"/>
      <c r="G46" s="53"/>
      <c r="H46" s="53"/>
      <c r="I46" s="53"/>
      <c r="J46" s="53"/>
      <c r="K46" s="53"/>
    </row>
  </sheetData>
  <mergeCells count="39">
    <mergeCell ref="C2:K2"/>
    <mergeCell ref="C4:K4"/>
    <mergeCell ref="C5:K5"/>
    <mergeCell ref="C6:K6"/>
    <mergeCell ref="C7:K7"/>
    <mergeCell ref="C9:K9"/>
    <mergeCell ref="C10:K10"/>
    <mergeCell ref="C11:K11"/>
    <mergeCell ref="C12:K12"/>
    <mergeCell ref="C13:K13"/>
    <mergeCell ref="C14:K14"/>
    <mergeCell ref="C15:K15"/>
    <mergeCell ref="C16:K16"/>
    <mergeCell ref="C17:K17"/>
    <mergeCell ref="C18:K18"/>
    <mergeCell ref="C20:K20"/>
    <mergeCell ref="C21:K21"/>
    <mergeCell ref="C22:K22"/>
    <mergeCell ref="C23:K23"/>
    <mergeCell ref="C24:K24"/>
    <mergeCell ref="C25:K25"/>
    <mergeCell ref="C26:K26"/>
    <mergeCell ref="C28:K28"/>
    <mergeCell ref="C29:K29"/>
    <mergeCell ref="C30:K30"/>
    <mergeCell ref="C31:K31"/>
    <mergeCell ref="C32:K32"/>
    <mergeCell ref="C34:K34"/>
    <mergeCell ref="C35:K35"/>
    <mergeCell ref="C36:K36"/>
    <mergeCell ref="C37:K37"/>
    <mergeCell ref="C38:K38"/>
    <mergeCell ref="C40:K40"/>
    <mergeCell ref="C41:K41"/>
    <mergeCell ref="C42:K42"/>
    <mergeCell ref="C43:K43"/>
    <mergeCell ref="C44:K44"/>
    <mergeCell ref="C45:K45"/>
    <mergeCell ref="C46:K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2026-06-27T05:33:55Z</dcterms:created>
  <dc:creator>openpyxl</dc:creator>
  <dc:description/>
  <dc:language>en-US</dc:language>
  <cp:lastModifiedBy/>
  <dcterms:modified xsi:type="dcterms:W3CDTF">2026-06-27T05:34:00Z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