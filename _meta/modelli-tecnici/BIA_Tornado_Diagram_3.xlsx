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 BIA" sheetId="1" state="visible" r:id="rId3"/>
    <sheet name="Calcoli BIA" sheetId="2" state="visible" r:id="rId4"/>
    <sheet name="Dati Tornado" sheetId="3" state="visible" r:id="rId5"/>
    <sheet name="Tornado Chart" sheetId="4" state="visible" r:id="rId6"/>
    <sheet name="Istruzioni" sheetId="5" state="visible" r:id="rId7"/>
    <sheet name="Scenario Simulator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<sst xmlns="http://schemas.openxmlformats.org/spreadsheetml/2006/main" count="174" uniqueCount="156">
  <si>
    <t xml:space="preserve">BUSINESS IMPACT ANALYSIS — Dati di Input per Tornado Diagram</t>
  </si>
  <si>
    <t xml:space="preserve">Inserire i valori per ogni variabile di rischio. Il foglio Calcoli si aggiorna automaticamente.</t>
  </si>
  <si>
    <t xml:space="preserve">CONFIGURAZIONE SCENARIO</t>
  </si>
  <si>
    <t xml:space="preserve">Nome Scenario</t>
  </si>
  <si>
    <t xml:space="preserve">Scenario Base 2026</t>
  </si>
  <si>
    <t xml:space="preserve">Data Analisi</t>
  </si>
  <si>
    <t xml:space="preserve">Responsabile</t>
  </si>
  <si>
    <t xml:space="preserve">Risk Manager</t>
  </si>
  <si>
    <t xml:space="preserve">Valuta</t>
  </si>
  <si>
    <t xml:space="preserve">EUR</t>
  </si>
  <si>
    <t xml:space="preserve">Ore lavorative/giorno</t>
  </si>
  <si>
    <t xml:space="preserve">8</t>
  </si>
  <si>
    <t xml:space="preserve">Variabile di Rischio</t>
  </si>
  <si>
    <t xml:space="preserve">Categoria</t>
  </si>
  <si>
    <t xml:space="preserve">Unità</t>
  </si>
  <si>
    <t xml:space="preserve">Valore MIN</t>
  </si>
  <si>
    <t xml:space="preserve">Valore NOMINALE
(Baseline)</t>
  </si>
  <si>
    <t xml:space="preserve">Valore MAX</t>
  </si>
  <si>
    <t xml:space="preserve">Impatto Monetario
per Unità (€)</t>
  </si>
  <si>
    <t xml:space="preserve">Peso Priorità
(1-5)</t>
  </si>
  <si>
    <t xml:space="preserve">Note / Fonte</t>
  </si>
  <si>
    <t xml:space="preserve">Downtime Sistemi IT</t>
  </si>
  <si>
    <t xml:space="preserve">Tecnologia</t>
  </si>
  <si>
    <t xml:space="preserve">ore</t>
  </si>
  <si>
    <t xml:space="preserve">Basato su SLA e storico incidenti</t>
  </si>
  <si>
    <t xml:space="preserve">Downtime Reti/Connettività</t>
  </si>
  <si>
    <t xml:space="preserve">Include VPN e collegamenti WAN</t>
  </si>
  <si>
    <t xml:space="preserve">Tempo di Recupero RTO</t>
  </si>
  <si>
    <t xml:space="preserve">Recovery Time Objective</t>
  </si>
  <si>
    <t xml:space="preserve">Tempo di Recupero RPO</t>
  </si>
  <si>
    <t xml:space="preserve">Continuità</t>
  </si>
  <si>
    <t xml:space="preserve">Recovery Point Objective</t>
  </si>
  <si>
    <t xml:space="preserve">Perdita di Ricavi</t>
  </si>
  <si>
    <t xml:space="preserve">Finanziario</t>
  </si>
  <si>
    <t xml:space="preserve">€/ora</t>
  </si>
  <si>
    <t xml:space="preserve">Ricavi orari medi per unità operativa</t>
  </si>
  <si>
    <t xml:space="preserve">Costi di Recupero IT</t>
  </si>
  <si>
    <t xml:space="preserve">€</t>
  </si>
  <si>
    <t xml:space="preserve">Personale + hardware + licenze</t>
  </si>
  <si>
    <t xml:space="preserve">Costi di Risposta Incidente</t>
  </si>
  <si>
    <t xml:space="preserve">Team interno + consulenti esterni</t>
  </si>
  <si>
    <t xml:space="preserve">Danno Reputazionale</t>
  </si>
  <si>
    <t xml:space="preserve">Strategico</t>
  </si>
  <si>
    <t xml:space="preserve">€ eq.</t>
  </si>
  <si>
    <t xml:space="preserve">Stima perdita clienti/contratti</t>
  </si>
  <si>
    <t xml:space="preserve">Sanzioni Regolamentari</t>
  </si>
  <si>
    <t xml:space="preserve">Compliance</t>
  </si>
  <si>
    <t xml:space="preserve">GDPR, NIS2, settoriali</t>
  </si>
  <si>
    <t xml:space="preserve">Perdita Produttività</t>
  </si>
  <si>
    <t xml:space="preserve">Operativo</t>
  </si>
  <si>
    <t xml:space="preserve">%</t>
  </si>
  <si>
    <t xml:space="preserve">% riduzione output per ora</t>
  </si>
  <si>
    <t xml:space="preserve">Costi di Comunicazione Crisi</t>
  </si>
  <si>
    <t xml:space="preserve">PR, legale, notifiche clienti</t>
  </si>
  <si>
    <t xml:space="preserve">Indisponibilità Fornitori</t>
  </si>
  <si>
    <t xml:space="preserve">Supply Chain</t>
  </si>
  <si>
    <t xml:space="preserve">giorni</t>
  </si>
  <si>
    <t xml:space="preserve">Impatto su processi dipendenti</t>
  </si>
  <si>
    <t xml:space="preserve">CALCOLI IMPATTO — Variazioni rispetto alla Baseline</t>
  </si>
  <si>
    <t xml:space="preserve">Tutte le celle sono collegate dinamicamente al foglio Input BIA. Le formule si aggiornano automaticamente.</t>
  </si>
  <si>
    <t xml:space="preserve">A. IMPATTI MONETARI ASSOLUTI (€)</t>
  </si>
  <si>
    <t xml:space="preserve">Variabile</t>
  </si>
  <si>
    <t xml:space="preserve">Impatto MIN (€)</t>
  </si>
  <si>
    <t xml:space="preserve">Impatto NOMINALE (€)
[Baseline]</t>
  </si>
  <si>
    <t xml:space="preserve">Impatto MAX (€)</t>
  </si>
  <si>
    <t xml:space="preserve">Swing MIN
(vs Baseline €)</t>
  </si>
  <si>
    <t xml:space="preserve">Swing MAX
(vs Baseline €)</t>
  </si>
  <si>
    <t xml:space="preserve">Swing Totale
(MAX-MIN €)</t>
  </si>
  <si>
    <t xml:space="preserve">Swing MIN %</t>
  </si>
  <si>
    <t xml:space="preserve">Swing MAX %</t>
  </si>
  <si>
    <t xml:space="preserve">Swing Totale
(assoluto €)</t>
  </si>
  <si>
    <t xml:space="preserve">TOTALE IMPATTO BASELINE</t>
  </si>
  <si>
    <t xml:space="preserve">B. RIEPILOGO KPI SCENARIO</t>
  </si>
  <si>
    <t xml:space="preserve">Impatto Baseline Totale (€)</t>
  </si>
  <si>
    <t xml:space="preserve">Worst-Case Impatto Totale (€)</t>
  </si>
  <si>
    <t xml:space="preserve">Best-Case Impatto Totale (€)</t>
  </si>
  <si>
    <t xml:space="preserve">Range di Incertezza Totale (€)</t>
  </si>
  <si>
    <t xml:space="preserve">Variabile con maggior Swing</t>
  </si>
  <si>
    <t xml:space="preserve">% Swing Max / Baseline</t>
  </si>
  <si>
    <t xml:space="preserve">DATI ORDINATI PER TORNADO DIAGRAM — Ordinamento automatico per Swing Totale decrescente</t>
  </si>
  <si>
    <t xml:space="preserve">Questo foglio alimenta il grafico. I dati sono estratti da Calcoli BIA e ordinati per impatto decrescente.</t>
  </si>
  <si>
    <t xml:space="preserve">Baseline (€)</t>
  </si>
  <si>
    <t xml:space="preserve">Swing Negativo
(MIN - Baseline €)</t>
  </si>
  <si>
    <t xml:space="preserve">Swing Positivo
(MAX - Baseline €)</t>
  </si>
  <si>
    <t xml:space="preserve">Priorità BIA</t>
  </si>
  <si>
    <t xml:space="preserve">Rank</t>
  </si>
  <si>
    <t xml:space="preserve">TORNADO DIAGRAM — Business Impact Analysis</t>
  </si>
  <si>
    <t xml:space="preserve">Le barre mostrano la variazione dell'impatto rispetto alla baseline. Ordinamento per impatto totale decrescente.</t>
  </si>
  <si>
    <t xml:space="preserve">Offset (€)</t>
  </si>
  <si>
    <t xml:space="preserve">Swing Positivo (€)</t>
  </si>
  <si>
    <t xml:space="preserve">|Swing Negativo| (€)</t>
  </si>
  <si>
    <t xml:space="preserve">● Teal = Impatto Positivo (Scenario MAX)   ● Rosso = Impatto Negativo (Scenario MIN)   ● Offset invisibile per centramento barre</t>
  </si>
  <si>
    <t xml:space="preserve">GUIDA ALL'USO — BIA Tornado Diagram Template</t>
  </si>
  <si>
    <t xml:space="preserve">1. STRUTTURA DEL FILE</t>
  </si>
  <si>
    <t xml:space="preserve">📋 Input BIA</t>
  </si>
  <si>
    <t xml:space="preserve">Inserire qui tutti i parametri: nome variabile, categoria, unità di misura, valori MIN / NOMINALE / MAX, costo unitario e peso priorità (1-5). È l'unico foglio da modificare manualmente.</t>
  </si>
  <si>
    <t xml:space="preserve">🔢 Calcoli BIA</t>
  </si>
  <si>
    <t xml:space="preserve">Foglio di calcolo automatico. Mostra impatti monetari assoluti, swing (variazione vs baseline), percentuali. NON modificare direttamente — si aggiorna da Input BIA.</t>
  </si>
  <si>
    <t xml:space="preserve">📊 Dati Tornado</t>
  </si>
  <si>
    <t xml:space="preserve">Tabella ordinata automaticamente per Swing Totale decrescente (il fattore con maggior impatto appare in cima). Alimenta il grafico.</t>
  </si>
  <si>
    <t xml:space="preserve">🌪️ Tornado Chart</t>
  </si>
  <si>
    <t xml:space="preserve">Grafico a barre speculare (Tornado Diagram). Le barre teal = impatto positivo (scenario MAX), barre rosse = impatto negativo (scenario MIN). L'asse centrale rappresenta la baseline.</t>
  </si>
  <si>
    <t xml:space="preserve">📖 Istruzioni</t>
  </si>
  <si>
    <t xml:space="preserve">Questo foglio. Leggerlo prima di iniziare.</t>
  </si>
  <si>
    <t xml:space="preserve">2. COME AGGIORNARE I DATI PER NUOVE SIMULAZIONI</t>
  </si>
  <si>
    <t xml:space="preserve">Passo 1 — Vai al foglio Input BIA</t>
  </si>
  <si>
    <t xml:space="preserve">Seleziona il foglio 'Input BIA' dalla barra in basso.</t>
  </si>
  <si>
    <t xml:space="preserve">Passo 2 — Modifica le variabili</t>
  </si>
  <si>
    <t xml:space="preserve">Modifica i valori nelle colonne E (MIN), F (NOMINALE / Baseline) e G (MAX) per ogni variabile.
• Colonna E = scenario migliore (best case) → valore più basso
• Colonna F = valore atteso / baseline → punto di riferimento centrale
• Colonna G = scenario peggiore (worst case) → valore più alto</t>
  </si>
  <si>
    <t xml:space="preserve">Passo 3 — Aggiorna il costo unitario</t>
  </si>
  <si>
    <t xml:space="preserve">Colonna H = 'Impatto Monetario per Unità'. Per variabili già in €, lasciare 1. Per variabili in ore o %, inserire il costo orario o il costo per punto percentuale.</t>
  </si>
  <si>
    <t xml:space="preserve">Passo 4 — Assegna la priorità</t>
  </si>
  <si>
    <t xml:space="preserve">Colonna I = Peso Priorità da 1 (bassa) a 5 (critica). Usare 5 per variabili business-critical.</t>
  </si>
  <si>
    <t xml:space="preserve">Passo 5 — Aggiorna nomi/note</t>
  </si>
  <si>
    <t xml:space="preserve">Colonna B = nome variabile (visibile nel grafico). Colonna J = note e fonte del dato.</t>
  </si>
  <si>
    <t xml:space="preserve">Passo 6 — Vai al Tornado Chart</t>
  </si>
  <si>
    <t xml:space="preserve">Il grafico si aggiorna automaticamente. Se Excel non si ricalcola, premere F9.</t>
  </si>
  <si>
    <t xml:space="preserve">Passo 7 — Salva con nuovo nome</t>
  </si>
  <si>
    <t xml:space="preserve">Per salvare uno scenario: File → Salva con nome → 'BIA_Tornado_[NomeScenario]_[Data].xlsx'.
In questo modo si mantiene la cronologia delle simulazioni.</t>
  </si>
  <si>
    <t xml:space="preserve">3. AGGIUNGERE NUOVE VARIABILI DI RISCHIO</t>
  </si>
  <si>
    <t xml:space="preserve">A. Inserisci riga in Input BIA</t>
  </si>
  <si>
    <t xml:space="preserve">Nel foglio 'Input BIA', inserisci una nuova riga PRIMA della riga 25 (ultima riga dati). Clic destro sulla riga 25 → Inserisci. Compila tutte le colonne B-J.</t>
  </si>
  <si>
    <t xml:space="preserve">B. Aggiorna i fogli di calcolo</t>
  </si>
  <si>
    <t xml:space="preserve">Estendi le formule nel foglio 'Calcoli BIA' (copia-incolla dall'ultima riga). Il ranking in 'Dati Tornado' si aggiornerà automaticamente se estendi anche quelle righe.</t>
  </si>
  <si>
    <t xml:space="preserve">C. Aggiorna il range del grafico</t>
  </si>
  <si>
    <t xml:space="preserve">Nel foglio 'Tornado Chart', seleziona il grafico → Dati → estendi il range al nuovo numero di variabili.</t>
  </si>
  <si>
    <t xml:space="preserve">4. COME INTERPRETARE IL TORNADO DIAGRAM</t>
  </si>
  <si>
    <t xml:space="preserve">Larghezza della barra</t>
  </si>
  <si>
    <t xml:space="preserve">Più la barra è lunga, maggiore è l'incertezza / sensibilità di quella variabile. Le barre più lunghe in cima sono i fattori critici su cui concentrare le strategie di mitigazione.</t>
  </si>
  <si>
    <t xml:space="preserve">Barra Teal (destra)</t>
  </si>
  <si>
    <t xml:space="preserve">Rappresenta l'impatto AGGIUNTIVO nello scenario peggiore (MAX). Quanto costa in più rispetto alla baseline se questa variabile raggiunge il valore massimo.</t>
  </si>
  <si>
    <t xml:space="preserve">Barra Rust/Rosso (sinistra)</t>
  </si>
  <si>
    <t xml:space="preserve">Rappresenta il risparmio possibile nello scenario migliore (MIN). Quanto si risparmia rispetto alla baseline se questa variabile si mantiene al valore minimo.</t>
  </si>
  <si>
    <t xml:space="preserve">Punto centrale (asse Y)</t>
  </si>
  <si>
    <t xml:space="preserve">È la Baseline = valore nominale. Tutte le variazioni sono calcolate da questo punto.</t>
  </si>
  <si>
    <t xml:space="preserve">Ordinamento automatico</t>
  </si>
  <si>
    <t xml:space="preserve">Le variabili sono ordinate per Swing Totale (MAX - MIN in €) decrescente. La variabile con più incertezza appare sempre in cima — cambia automaticamente se modifichi i valori.</t>
  </si>
  <si>
    <t xml:space="preserve">⚠️  ATTENZIONE: Non modificare le formule nei fogli Calcoli BIA, Dati Tornado e Tornado Chart. Aggiornare SOLO il foglio Input BIA.</t>
  </si>
  <si>
    <t xml:space="preserve">SCENARIO SIMULATOR — Confronto Multi-Scenario</t>
  </si>
  <si>
    <t xml:space="preserve">Registra qui i risultati di diverse simulazioni per confrontare l'evoluzione del rischio nel tempo.</t>
  </si>
  <si>
    <t xml:space="preserve">Data</t>
  </si>
  <si>
    <t xml:space="preserve">Baseline Totale (€)</t>
  </si>
  <si>
    <t xml:space="preserve">Worst-Case (€)</t>
  </si>
  <si>
    <t xml:space="preserve">Best-Case (€)</t>
  </si>
  <si>
    <t xml:space="preserve">Range Incertezza (€)</t>
  </si>
  <si>
    <t xml:space="preserve">Variabile Critica #1</t>
  </si>
  <si>
    <t xml:space="preserve">Note Scenario</t>
  </si>
  <si>
    <t xml:space="preserve">Scenario iniziale - dati storici</t>
  </si>
  <si>
    <t xml:space="preserve">Scenario Cyberattack</t>
  </si>
  <si>
    <t xml:space="preserve">Inserire valori post-analisi scenario attacco</t>
  </si>
  <si>
    <t xml:space="preserve">Scenario Pandemia</t>
  </si>
  <si>
    <t xml:space="preserve">Inserire valori post-analisi scenario pandemia</t>
  </si>
  <si>
    <t xml:space="preserve">Scenario Disastro NatL</t>
  </si>
  <si>
    <t xml:space="preserve">Inserire valori post-analisi disastro naturale</t>
  </si>
  <si>
    <t xml:space="preserve">Dopo Piano di Mitigan.</t>
  </si>
  <si>
    <t xml:space="preserve">Valori attesi dopo implementazione controlli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</si>
</sst>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#,##0.0"/>
    <numFmt numFmtId="167" formatCode="\€#,##0"/>
    <numFmt numFmtId="168" formatCode="\€#,##0;[RED]&quot;-€&quot;#,##0"/>
    <numFmt numFmtId="169" formatCode="0.0%"/>
    <numFmt numFmtId="170" formatCode="#,##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474D"/>
      <name val="Calibri"/>
      <family val="0"/>
      <charset val="1"/>
    </font>
    <font>
      <i val="true"/>
      <sz val="9"/>
      <color rgb="FF7A797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1B474D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0"/>
      <color rgb="FF28251D"/>
      <name val="Calibri"/>
      <family val="0"/>
      <charset val="1"/>
    </font>
    <font>
      <b val="true"/>
      <sz val="13"/>
      <color rgb="FF1B474D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1B474D"/>
      <name val="Calibri"/>
      <family val="0"/>
      <charset val="1"/>
    </font>
    <font>
      <b val="true"/>
      <sz val="12"/>
      <color rgb="FF1B474D"/>
      <name val="Calibri"/>
      <family val="0"/>
      <charset val="1"/>
    </font>
    <font>
      <b val="true"/>
      <sz val="11"/>
      <color rgb="FF1B474D"/>
      <name val="Calibri"/>
      <family val="0"/>
      <charset val="1"/>
    </font>
    <font>
      <b val="true"/>
      <sz val="16"/>
      <color rgb="FF1B474D"/>
      <name val="Calibri"/>
      <family val="0"/>
      <charset val="1"/>
    </font>
    <font>
      <i val="true"/>
      <sz val="8"/>
      <color rgb="FF7A7974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5"/>
      <color rgb="FF1B474D"/>
      <name val="Calibri"/>
      <family val="0"/>
      <charset val="1"/>
    </font>
    <font>
      <b val="true"/>
      <sz val="10"/>
      <color rgb="FF9C0006"/>
      <name val="Calibri"/>
      <family val="0"/>
      <charset val="1"/>
    </font>
    <font>
      <sz val="10"/>
      <color rgb="FF7A7974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474D"/>
        <bgColor rgb="FF276221"/>
      </patternFill>
    </fill>
    <fill>
      <patternFill patternType="solid">
        <fgColor rgb="FF20808D"/>
        <bgColor rgb="FF008080"/>
      </patternFill>
    </fill>
    <fill>
      <patternFill patternType="solid">
        <fgColor rgb="FFF0F9FA"/>
        <bgColor rgb="FFFFFFFF"/>
      </patternFill>
    </fill>
    <fill>
      <patternFill patternType="solid">
        <fgColor rgb="FFFFFFFF"/>
        <bgColor rgb="FFF0F9FA"/>
      </patternFill>
    </fill>
    <fill>
      <patternFill patternType="solid">
        <fgColor rgb="FFBCE2E7"/>
        <bgColor rgb="FFC6EFCE"/>
      </patternFill>
    </fill>
    <fill>
      <patternFill patternType="solid">
        <fgColor rgb="FFFFC7CE"/>
        <bgColor rgb="FFD4D1C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  <border diagonalUp="false" diagonalDown="false">
      <left style="thin">
        <color rgb="FFD4D1CA"/>
      </left>
      <right/>
      <top style="thin">
        <color rgb="FFD4D1CA"/>
      </top>
      <bottom style="thin">
        <color rgb="FFD4D1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21" fillId="7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Calibri"/>
        <charset val="1"/>
        <family val="0"/>
        <color rgb="FF9C0006"/>
        <sz val="10"/>
      </font>
      <fill>
        <patternFill>
          <bgColor rgb="FFFFC7CE"/>
        </patternFill>
      </fill>
    </dxf>
    <dxf>
      <font>
        <name val="Calibri"/>
        <charset val="1"/>
        <family val="0"/>
        <color rgb="FF276221"/>
        <sz val="1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20808D"/>
      <rgbColor rgb="FFD4D1CA"/>
      <rgbColor rgb="FF878787"/>
      <rgbColor rgb="FF9999FF"/>
      <rgbColor rgb="FFC0504D"/>
      <rgbColor rgb="FFF0F9FA"/>
      <rgbColor rgb="FFBCE2E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F81BD"/>
      <rgbColor rgb="FF33CCCC"/>
      <rgbColor rgb="FF9BBB59"/>
      <rgbColor rgb="FFFFC553"/>
      <rgbColor rgb="FFFF9900"/>
      <rgbColor rgb="FFFF6600"/>
      <rgbColor rgb="FF7A7974"/>
      <rgbColor rgb="FF969696"/>
      <rgbColor rgb="FF1B474D"/>
      <rgbColor rgb="FF339966"/>
      <rgbColor rgb="FF003300"/>
      <rgbColor rgb="FF333300"/>
      <rgbColor rgb="FFA84B2F"/>
      <rgbColor rgb="FF993366"/>
      <rgbColor rgb="FF333399"/>
      <rgbColor rgb="FF2825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Tornado Diagram — Sensitività Business Impact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"Offset"</c:f>
              <c:strCache>
                <c:ptCount val="1"/>
                <c:pt idx="0">
                  <c:v>Offset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'Tornado Chart'!$C$6:$C$17</c:f>
              <c:strCache>
                <c:ptCount val="12"/>
                <c:pt idx="0">
                  <c:v>Tempo di Recupero RTO</c:v>
                </c:pt>
                <c:pt idx="1">
                  <c:v>Downtime Sistemi IT</c:v>
                </c:pt>
                <c:pt idx="2">
                  <c:v>Danno Reputazionale</c:v>
                </c:pt>
                <c:pt idx="3">
                  <c:v>Indisponibilità Fornitori</c:v>
                </c:pt>
                <c:pt idx="4">
                  <c:v>Tempo di Recupero RPO</c:v>
                </c:pt>
                <c:pt idx="5">
                  <c:v>Costi di Recupero IT</c:v>
                </c:pt>
                <c:pt idx="6">
                  <c:v>Downtime Reti/Connettività</c:v>
                </c:pt>
                <c:pt idx="7">
                  <c:v>Perdita Produttività</c:v>
                </c:pt>
                <c:pt idx="8">
                  <c:v>Sanzioni Regolamentari</c:v>
                </c:pt>
                <c:pt idx="9">
                  <c:v>Costi di Risposta Incidente</c:v>
                </c:pt>
                <c:pt idx="10">
                  <c:v>Costi di Comunicazione Crisi</c:v>
                </c:pt>
                <c:pt idx="11">
                  <c:v>Perdita di Ricavi</c:v>
                </c:pt>
              </c:strCache>
            </c:strRef>
          </c:cat>
          <c:val>
            <c:numRef>
              <c:f>'Tornado Chart'!$D$6:$D$17</c:f>
              <c:numCache>
                <c:formatCode>\€#,##0</c:formatCode>
                <c:ptCount val="12"/>
                <c:pt idx="0">
                  <c:v>32000</c:v>
                </c:pt>
                <c:pt idx="1">
                  <c:v>10000</c:v>
                </c:pt>
                <c:pt idx="2">
                  <c:v>10000</c:v>
                </c:pt>
                <c:pt idx="3">
                  <c:v>12000</c:v>
                </c:pt>
                <c:pt idx="4">
                  <c:v>4500</c:v>
                </c:pt>
                <c:pt idx="5">
                  <c:v>5000</c:v>
                </c:pt>
                <c:pt idx="6">
                  <c:v>3000</c:v>
                </c:pt>
                <c:pt idx="7">
                  <c:v>5000</c:v>
                </c:pt>
                <c:pt idx="8">
                  <c:v>0</c:v>
                </c:pt>
                <c:pt idx="9">
                  <c:v>2000</c:v>
                </c:pt>
                <c:pt idx="10">
                  <c:v>1000</c:v>
                </c:pt>
                <c:pt idx="11">
                  <c:v>500</c:v>
                </c:pt>
              </c:numCache>
            </c:numRef>
          </c:val>
        </c:ser>
        <c:ser>
          <c:idx val="1"/>
          <c:order val="1"/>
          <c:tx>
            <c:strRef>
              <c:f>"Impatto Positivo (MAX)"</c:f>
              <c:strCache>
                <c:ptCount val="1"/>
                <c:pt idx="0">
                  <c:v>Impatto Positivo (MAX)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'Tornado Chart'!$C$6:$C$17</c:f>
              <c:strCache>
                <c:ptCount val="12"/>
                <c:pt idx="0">
                  <c:v>Tempo di Recupero RTO</c:v>
                </c:pt>
                <c:pt idx="1">
                  <c:v>Downtime Sistemi IT</c:v>
                </c:pt>
                <c:pt idx="2">
                  <c:v>Danno Reputazionale</c:v>
                </c:pt>
                <c:pt idx="3">
                  <c:v>Indisponibilità Fornitori</c:v>
                </c:pt>
                <c:pt idx="4">
                  <c:v>Tempo di Recupero RPO</c:v>
                </c:pt>
                <c:pt idx="5">
                  <c:v>Costi di Recupero IT</c:v>
                </c:pt>
                <c:pt idx="6">
                  <c:v>Downtime Reti/Connettività</c:v>
                </c:pt>
                <c:pt idx="7">
                  <c:v>Perdita Produttività</c:v>
                </c:pt>
                <c:pt idx="8">
                  <c:v>Sanzioni Regolamentari</c:v>
                </c:pt>
                <c:pt idx="9">
                  <c:v>Costi di Risposta Incidente</c:v>
                </c:pt>
                <c:pt idx="10">
                  <c:v>Costi di Comunicazione Crisi</c:v>
                </c:pt>
                <c:pt idx="11">
                  <c:v>Perdita di Ricavi</c:v>
                </c:pt>
              </c:strCache>
            </c:strRef>
          </c:cat>
          <c:val>
            <c:numRef>
              <c:f>'Tornado Chart'!$E$6:$E$17</c:f>
              <c:numCache>
                <c:formatCode>\€#,##0</c:formatCode>
                <c:ptCount val="12"/>
                <c:pt idx="0">
                  <c:v>480000</c:v>
                </c:pt>
                <c:pt idx="1">
                  <c:v>200000</c:v>
                </c:pt>
                <c:pt idx="2">
                  <c:v>150000</c:v>
                </c:pt>
                <c:pt idx="3">
                  <c:v>144000</c:v>
                </c:pt>
                <c:pt idx="4">
                  <c:v>81000</c:v>
                </c:pt>
                <c:pt idx="5">
                  <c:v>65000</c:v>
                </c:pt>
                <c:pt idx="6">
                  <c:v>60000</c:v>
                </c:pt>
                <c:pt idx="7">
                  <c:v>40000</c:v>
                </c:pt>
                <c:pt idx="8">
                  <c:v>45000</c:v>
                </c:pt>
                <c:pt idx="9">
                  <c:v>22000</c:v>
                </c:pt>
                <c:pt idx="10">
                  <c:v>15000</c:v>
                </c:pt>
                <c:pt idx="11">
                  <c:v>6000</c:v>
                </c:pt>
              </c:numCache>
            </c:numRef>
          </c:val>
        </c:ser>
        <c:ser>
          <c:idx val="2"/>
          <c:order val="2"/>
          <c:tx>
            <c:strRef>
              <c:f>"Impatto Negativo (MIN)"</c:f>
              <c:strCache>
                <c:ptCount val="1"/>
                <c:pt idx="0">
                  <c:v>Impatto Negativo (MIN)</c:v>
                </c:pt>
              </c:strCache>
            </c:strRef>
          </c:tx>
          <c:spPr>
            <a:solidFill>
              <a:srgbClr val="9BBB59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'Tornado Chart'!$C$6:$C$17</c:f>
              <c:strCache>
                <c:ptCount val="12"/>
                <c:pt idx="0">
                  <c:v>Tempo di Recupero RTO</c:v>
                </c:pt>
                <c:pt idx="1">
                  <c:v>Downtime Sistemi IT</c:v>
                </c:pt>
                <c:pt idx="2">
                  <c:v>Danno Reputazionale</c:v>
                </c:pt>
                <c:pt idx="3">
                  <c:v>Indisponibilità Fornitori</c:v>
                </c:pt>
                <c:pt idx="4">
                  <c:v>Tempo di Recupero RPO</c:v>
                </c:pt>
                <c:pt idx="5">
                  <c:v>Costi di Recupero IT</c:v>
                </c:pt>
                <c:pt idx="6">
                  <c:v>Downtime Reti/Connettività</c:v>
                </c:pt>
                <c:pt idx="7">
                  <c:v>Perdita Produttività</c:v>
                </c:pt>
                <c:pt idx="8">
                  <c:v>Sanzioni Regolamentari</c:v>
                </c:pt>
                <c:pt idx="9">
                  <c:v>Costi di Risposta Incidente</c:v>
                </c:pt>
                <c:pt idx="10">
                  <c:v>Costi di Comunicazione Crisi</c:v>
                </c:pt>
                <c:pt idx="11">
                  <c:v>Perdita di Ricavi</c:v>
                </c:pt>
              </c:strCache>
            </c:strRef>
          </c:cat>
          <c:val>
            <c:numRef>
              <c:f>'Tornado Chart'!$F$6:$F$17</c:f>
              <c:numCache>
                <c:formatCode>\€#,##0</c:formatCode>
                <c:ptCount val="12"/>
                <c:pt idx="0">
                  <c:v>64000</c:v>
                </c:pt>
                <c:pt idx="1">
                  <c:v>30000</c:v>
                </c:pt>
                <c:pt idx="2">
                  <c:v>40000</c:v>
                </c:pt>
                <c:pt idx="3">
                  <c:v>24000</c:v>
                </c:pt>
                <c:pt idx="4">
                  <c:v>22500</c:v>
                </c:pt>
                <c:pt idx="5">
                  <c:v>10000</c:v>
                </c:pt>
                <c:pt idx="6">
                  <c:v>9000</c:v>
                </c:pt>
                <c:pt idx="7">
                  <c:v>15000</c:v>
                </c:pt>
                <c:pt idx="8">
                  <c:v>5000</c:v>
                </c:pt>
                <c:pt idx="9">
                  <c:v>6000</c:v>
                </c:pt>
                <c:pt idx="10">
                  <c:v>4000</c:v>
                </c:pt>
                <c:pt idx="11">
                  <c:v>1500</c:v>
                </c:pt>
              </c:numCache>
            </c:numRef>
          </c:val>
        </c:ser>
        <c:gapWidth val="150"/>
        <c:overlap val="100"/>
        <c:axId val="51592028"/>
        <c:axId val="93212866"/>
      </c:barChart>
      <c:catAx>
        <c:axId val="51592028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Variazione Impatto rispetto alla Baseline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212866"/>
        <c:crosses val="autoZero"/>
        <c:auto val="1"/>
        <c:lblAlgn val="ctr"/>
        <c:lblOffset val="100"/>
        <c:noMultiLvlLbl val="0"/>
      </c:catAx>
      <c:valAx>
        <c:axId val="932128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Variabile di Rischio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€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59202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19</xdr:row>
      <xdr:rowOff>0</xdr:rowOff>
    </xdr:from>
    <xdr:to>
      <xdr:col>11</xdr:col>
      <xdr:colOff>348840</xdr:colOff>
      <xdr:row>53</xdr:row>
      <xdr:rowOff>2520</xdr:rowOff>
    </xdr:to>
    <xdr:graphicFrame>
      <xdr:nvGraphicFramePr>
        <xdr:cNvPr id="1" name="Chart 1"/>
        <xdr:cNvGraphicFramePr/>
      </xdr:nvGraphicFramePr>
      <xdr:xfrm>
        <a:off x="211320" y="4257720"/>
        <a:ext cx="10079640" cy="64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0808D"/>
    <pageSetUpPr fitToPage="false"/>
  </sheetPr>
  <dimension ref="B1:L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2" topLeftCell="B13" activePane="bottomRight" state="frozen"/>
      <selection pane="topLeft" activeCell="A1" activeCellId="0" sqref="A1"/>
      <selection pane="topRight" activeCell="B1" activeCellId="0" sqref="B1"/>
      <selection pane="bottomLeft" activeCell="A13" activeCellId="0" sqref="A1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4" min="3" style="0" width="18"/>
    <col collapsed="false" customWidth="true" hidden="false" outlineLevel="0" max="7" min="5" style="0" width="16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20"/>
  </cols>
  <sheetData>
    <row r="1" customFormat="false" ht="7.5" hidden="false" customHeight="true" outlineLevel="0" collapsed="false"/>
    <row r="2" customFormat="false" ht="27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8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7.5" hidden="false" customHeight="true" outlineLevel="0" collapsed="false"/>
    <row r="5" customFormat="false" ht="21.75" hidden="false" customHeight="true" outlineLevel="0" collapsed="false">
      <c r="B5" s="3" t="s">
        <v>2</v>
      </c>
      <c r="C5" s="3"/>
      <c r="D5" s="3"/>
    </row>
    <row r="6" customFormat="false" ht="15" hidden="false" customHeight="false" outlineLevel="0" collapsed="false">
      <c r="B6" s="4" t="s">
        <v>3</v>
      </c>
      <c r="D6" s="5" t="s">
        <v>4</v>
      </c>
    </row>
    <row r="7" customFormat="false" ht="15" hidden="false" customHeight="false" outlineLevel="0" collapsed="false">
      <c r="B7" s="4" t="s">
        <v>5</v>
      </c>
      <c r="D7" s="6" t="n">
        <v>46200</v>
      </c>
    </row>
    <row r="8" customFormat="false" ht="15" hidden="false" customHeight="false" outlineLevel="0" collapsed="false">
      <c r="B8" s="4" t="s">
        <v>6</v>
      </c>
      <c r="D8" s="5" t="s">
        <v>7</v>
      </c>
    </row>
    <row r="9" customFormat="false" ht="15" hidden="false" customHeight="false" outlineLevel="0" collapsed="false">
      <c r="B9" s="4" t="s">
        <v>8</v>
      </c>
      <c r="D9" s="5" t="s">
        <v>9</v>
      </c>
    </row>
    <row r="10" customFormat="false" ht="15" hidden="false" customHeight="false" outlineLevel="0" collapsed="false">
      <c r="B10" s="4" t="s">
        <v>10</v>
      </c>
      <c r="D10" s="5" t="s">
        <v>11</v>
      </c>
    </row>
    <row r="11" customFormat="false" ht="9.75" hidden="false" customHeight="true" outlineLevel="0" collapsed="false"/>
    <row r="12" customFormat="false" ht="36" hidden="false" customHeight="true" outlineLevel="0" collapsed="false">
      <c r="B12" s="7" t="s">
        <v>12</v>
      </c>
      <c r="C12" s="7" t="s">
        <v>13</v>
      </c>
      <c r="D12" s="7" t="s">
        <v>14</v>
      </c>
      <c r="E12" s="7" t="s">
        <v>15</v>
      </c>
      <c r="F12" s="7" t="s">
        <v>16</v>
      </c>
      <c r="G12" s="7" t="s">
        <v>17</v>
      </c>
      <c r="H12" s="7" t="s">
        <v>18</v>
      </c>
      <c r="I12" s="7" t="s">
        <v>19</v>
      </c>
      <c r="J12" s="7" t="s">
        <v>20</v>
      </c>
    </row>
    <row r="13" customFormat="false" ht="18" hidden="false" customHeight="true" outlineLevel="0" collapsed="false">
      <c r="B13" s="8" t="s">
        <v>21</v>
      </c>
      <c r="C13" s="9" t="s">
        <v>22</v>
      </c>
      <c r="D13" s="9" t="s">
        <v>23</v>
      </c>
      <c r="E13" s="10" t="n">
        <v>2</v>
      </c>
      <c r="F13" s="10" t="n">
        <v>8</v>
      </c>
      <c r="G13" s="10" t="n">
        <v>48</v>
      </c>
      <c r="H13" s="11" t="n">
        <v>5000</v>
      </c>
      <c r="I13" s="9" t="n">
        <v>5</v>
      </c>
      <c r="J13" s="8" t="s">
        <v>24</v>
      </c>
    </row>
    <row r="14" customFormat="false" ht="18" hidden="false" customHeight="true" outlineLevel="0" collapsed="false">
      <c r="B14" s="12" t="s">
        <v>25</v>
      </c>
      <c r="C14" s="13" t="s">
        <v>22</v>
      </c>
      <c r="D14" s="13" t="s">
        <v>23</v>
      </c>
      <c r="E14" s="14" t="n">
        <v>1</v>
      </c>
      <c r="F14" s="14" t="n">
        <v>4</v>
      </c>
      <c r="G14" s="14" t="n">
        <v>24</v>
      </c>
      <c r="H14" s="15" t="n">
        <v>3000</v>
      </c>
      <c r="I14" s="13" t="n">
        <v>4</v>
      </c>
      <c r="J14" s="12" t="s">
        <v>26</v>
      </c>
    </row>
    <row r="15" customFormat="false" ht="18" hidden="false" customHeight="true" outlineLevel="0" collapsed="false">
      <c r="B15" s="8" t="s">
        <v>27</v>
      </c>
      <c r="C15" s="9" t="s">
        <v>22</v>
      </c>
      <c r="D15" s="9" t="s">
        <v>23</v>
      </c>
      <c r="E15" s="10" t="n">
        <v>4</v>
      </c>
      <c r="F15" s="10" t="n">
        <v>12</v>
      </c>
      <c r="G15" s="10" t="n">
        <v>72</v>
      </c>
      <c r="H15" s="11" t="n">
        <v>8000</v>
      </c>
      <c r="I15" s="9" t="n">
        <v>5</v>
      </c>
      <c r="J15" s="8" t="s">
        <v>28</v>
      </c>
    </row>
    <row r="16" customFormat="false" ht="18" hidden="false" customHeight="true" outlineLevel="0" collapsed="false">
      <c r="B16" s="12" t="s">
        <v>29</v>
      </c>
      <c r="C16" s="13" t="s">
        <v>30</v>
      </c>
      <c r="D16" s="13" t="s">
        <v>23</v>
      </c>
      <c r="E16" s="14" t="n">
        <v>1</v>
      </c>
      <c r="F16" s="14" t="n">
        <v>6</v>
      </c>
      <c r="G16" s="14" t="n">
        <v>24</v>
      </c>
      <c r="H16" s="15" t="n">
        <v>4500</v>
      </c>
      <c r="I16" s="13" t="n">
        <v>4</v>
      </c>
      <c r="J16" s="12" t="s">
        <v>31</v>
      </c>
    </row>
    <row r="17" customFormat="false" ht="18" hidden="false" customHeight="true" outlineLevel="0" collapsed="false">
      <c r="B17" s="8" t="s">
        <v>32</v>
      </c>
      <c r="C17" s="9" t="s">
        <v>33</v>
      </c>
      <c r="D17" s="9" t="s">
        <v>34</v>
      </c>
      <c r="E17" s="10" t="n">
        <v>500</v>
      </c>
      <c r="F17" s="10" t="n">
        <v>2000</v>
      </c>
      <c r="G17" s="10" t="n">
        <v>8000</v>
      </c>
      <c r="H17" s="11" t="n">
        <v>1</v>
      </c>
      <c r="I17" s="9" t="n">
        <v>5</v>
      </c>
      <c r="J17" s="8" t="s">
        <v>35</v>
      </c>
    </row>
    <row r="18" customFormat="false" ht="18" hidden="false" customHeight="true" outlineLevel="0" collapsed="false">
      <c r="B18" s="12" t="s">
        <v>36</v>
      </c>
      <c r="C18" s="13" t="s">
        <v>33</v>
      </c>
      <c r="D18" s="13" t="s">
        <v>37</v>
      </c>
      <c r="E18" s="14" t="n">
        <v>5000</v>
      </c>
      <c r="F18" s="14" t="n">
        <v>15000</v>
      </c>
      <c r="G18" s="14" t="n">
        <v>80000</v>
      </c>
      <c r="H18" s="15" t="n">
        <v>1</v>
      </c>
      <c r="I18" s="13" t="n">
        <v>4</v>
      </c>
      <c r="J18" s="12" t="s">
        <v>38</v>
      </c>
    </row>
    <row r="19" customFormat="false" ht="18" hidden="false" customHeight="true" outlineLevel="0" collapsed="false">
      <c r="B19" s="8" t="s">
        <v>39</v>
      </c>
      <c r="C19" s="9" t="s">
        <v>33</v>
      </c>
      <c r="D19" s="9" t="s">
        <v>37</v>
      </c>
      <c r="E19" s="10" t="n">
        <v>2000</v>
      </c>
      <c r="F19" s="10" t="n">
        <v>8000</v>
      </c>
      <c r="G19" s="10" t="n">
        <v>30000</v>
      </c>
      <c r="H19" s="11" t="n">
        <v>1</v>
      </c>
      <c r="I19" s="9" t="n">
        <v>3</v>
      </c>
      <c r="J19" s="8" t="s">
        <v>40</v>
      </c>
    </row>
    <row r="20" customFormat="false" ht="18" hidden="false" customHeight="true" outlineLevel="0" collapsed="false">
      <c r="B20" s="12" t="s">
        <v>41</v>
      </c>
      <c r="C20" s="13" t="s">
        <v>42</v>
      </c>
      <c r="D20" s="13" t="s">
        <v>43</v>
      </c>
      <c r="E20" s="14" t="n">
        <v>10000</v>
      </c>
      <c r="F20" s="14" t="n">
        <v>50000</v>
      </c>
      <c r="G20" s="14" t="n">
        <v>200000</v>
      </c>
      <c r="H20" s="15" t="n">
        <v>1</v>
      </c>
      <c r="I20" s="13" t="n">
        <v>4</v>
      </c>
      <c r="J20" s="12" t="s">
        <v>44</v>
      </c>
    </row>
    <row r="21" customFormat="false" ht="18" hidden="false" customHeight="true" outlineLevel="0" collapsed="false">
      <c r="B21" s="8" t="s">
        <v>45</v>
      </c>
      <c r="C21" s="9" t="s">
        <v>46</v>
      </c>
      <c r="D21" s="9" t="s">
        <v>37</v>
      </c>
      <c r="E21" s="10" t="n">
        <v>0</v>
      </c>
      <c r="F21" s="10" t="n">
        <v>5000</v>
      </c>
      <c r="G21" s="10" t="n">
        <v>50000</v>
      </c>
      <c r="H21" s="11" t="n">
        <v>1</v>
      </c>
      <c r="I21" s="9" t="n">
        <v>3</v>
      </c>
      <c r="J21" s="8" t="s">
        <v>47</v>
      </c>
    </row>
    <row r="22" customFormat="false" ht="18" hidden="false" customHeight="true" outlineLevel="0" collapsed="false">
      <c r="B22" s="12" t="s">
        <v>48</v>
      </c>
      <c r="C22" s="13" t="s">
        <v>49</v>
      </c>
      <c r="D22" s="13" t="s">
        <v>50</v>
      </c>
      <c r="E22" s="14" t="n">
        <v>5</v>
      </c>
      <c r="F22" s="14" t="n">
        <v>20</v>
      </c>
      <c r="G22" s="14" t="n">
        <v>60</v>
      </c>
      <c r="H22" s="15" t="n">
        <v>1000</v>
      </c>
      <c r="I22" s="13" t="n">
        <v>3</v>
      </c>
      <c r="J22" s="12" t="s">
        <v>51</v>
      </c>
    </row>
    <row r="23" customFormat="false" ht="18" hidden="false" customHeight="true" outlineLevel="0" collapsed="false">
      <c r="B23" s="8" t="s">
        <v>52</v>
      </c>
      <c r="C23" s="9" t="s">
        <v>49</v>
      </c>
      <c r="D23" s="9" t="s">
        <v>37</v>
      </c>
      <c r="E23" s="10" t="n">
        <v>1000</v>
      </c>
      <c r="F23" s="10" t="n">
        <v>5000</v>
      </c>
      <c r="G23" s="10" t="n">
        <v>20000</v>
      </c>
      <c r="H23" s="11" t="n">
        <v>1</v>
      </c>
      <c r="I23" s="9" t="n">
        <v>2</v>
      </c>
      <c r="J23" s="8" t="s">
        <v>53</v>
      </c>
    </row>
    <row r="24" customFormat="false" ht="18" hidden="false" customHeight="true" outlineLevel="0" collapsed="false">
      <c r="B24" s="12" t="s">
        <v>54</v>
      </c>
      <c r="C24" s="13" t="s">
        <v>55</v>
      </c>
      <c r="D24" s="13" t="s">
        <v>56</v>
      </c>
      <c r="E24" s="14" t="n">
        <v>1</v>
      </c>
      <c r="F24" s="14" t="n">
        <v>3</v>
      </c>
      <c r="G24" s="14" t="n">
        <v>15</v>
      </c>
      <c r="H24" s="15" t="n">
        <v>12000</v>
      </c>
      <c r="I24" s="13" t="n">
        <v>3</v>
      </c>
      <c r="J24" s="12" t="s">
        <v>57</v>
      </c>
    </row>
  </sheetData>
  <mergeCells count="3">
    <mergeCell ref="B2:L2"/>
    <mergeCell ref="B3:L3"/>
    <mergeCell ref="B5:D5"/>
  </mergeCells>
  <conditionalFormatting sqref="I13:I24">
    <cfRule type="colorScale" priority="2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74D"/>
    <pageSetUpPr fitToPage="false"/>
  </sheetPr>
  <dimension ref="B1:N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16"/>
    <col collapsed="false" customWidth="true" hidden="false" outlineLevel="0" max="11" min="6" style="0" width="18"/>
    <col collapsed="false" customWidth="true" hidden="false" outlineLevel="0" max="13" min="12" style="0" width="16"/>
  </cols>
  <sheetData>
    <row r="1" customFormat="false" ht="7.5" hidden="false" customHeight="true" outlineLevel="0" collapsed="false"/>
    <row r="2" customFormat="false" ht="25.5" hidden="false" customHeight="true" outlineLevel="0" collapsed="false">
      <c r="B2" s="16" t="s">
        <v>58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customFormat="false" ht="15" hidden="false" customHeight="false" outlineLevel="0" collapsed="false">
      <c r="B3" s="17" t="s">
        <v>59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customFormat="false" ht="7.5" hidden="false" customHeight="true" outlineLevel="0" collapsed="false"/>
    <row r="5" customFormat="false" ht="21.75" hidden="false" customHeight="true" outlineLevel="0" collapsed="false">
      <c r="B5" s="3" t="s">
        <v>60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customFormat="false" ht="36" hidden="false" customHeight="true" outlineLevel="0" collapsed="false">
      <c r="B6" s="18" t="s">
        <v>61</v>
      </c>
      <c r="C6" s="18" t="s">
        <v>13</v>
      </c>
      <c r="D6" s="18" t="s">
        <v>14</v>
      </c>
      <c r="E6" s="18" t="s">
        <v>62</v>
      </c>
      <c r="F6" s="18" t="s">
        <v>63</v>
      </c>
      <c r="G6" s="18" t="s">
        <v>64</v>
      </c>
      <c r="H6" s="18" t="s">
        <v>65</v>
      </c>
      <c r="I6" s="18" t="s">
        <v>66</v>
      </c>
      <c r="J6" s="18" t="s">
        <v>67</v>
      </c>
      <c r="K6" s="18" t="s">
        <v>68</v>
      </c>
      <c r="L6" s="18" t="s">
        <v>69</v>
      </c>
      <c r="M6" s="18" t="s">
        <v>70</v>
      </c>
    </row>
    <row r="7" customFormat="false" ht="18" hidden="false" customHeight="true" outlineLevel="0" collapsed="false">
      <c r="B7" s="19" t="str">
        <f aca="false">'Input BIA'!B13</f>
        <v>Downtime Sistemi IT</v>
      </c>
      <c r="C7" s="20" t="str">
        <f aca="false">'Input BIA'!C13</f>
        <v>Tecnologia</v>
      </c>
      <c r="D7" s="20" t="str">
        <f aca="false">'Input BIA'!D13</f>
        <v>ore</v>
      </c>
      <c r="E7" s="21" t="n">
        <f aca="false">'Input BIA'!E13*'Input BIA'!H13</f>
        <v>10000</v>
      </c>
      <c r="F7" s="21" t="n">
        <f aca="false">'Input BIA'!F13*'Input BIA'!H13</f>
        <v>40000</v>
      </c>
      <c r="G7" s="21" t="n">
        <f aca="false">'Input BIA'!G13*'Input BIA'!H13</f>
        <v>240000</v>
      </c>
      <c r="H7" s="22" t="n">
        <f aca="false">E7-F7</f>
        <v>-30000</v>
      </c>
      <c r="I7" s="21" t="n">
        <f aca="false">G7-F7</f>
        <v>200000</v>
      </c>
      <c r="J7" s="21" t="n">
        <f aca="false">G7-E7</f>
        <v>230000</v>
      </c>
      <c r="K7" s="23" t="n">
        <f aca="false">IF(F7&lt;&gt;0,(E7-F7)/ABS(F7),0)</f>
        <v>-0.75</v>
      </c>
      <c r="L7" s="23" t="n">
        <f aca="false">IF(F7&lt;&gt;0,(G7-F7)/ABS(F7),0)</f>
        <v>5</v>
      </c>
      <c r="M7" s="21" t="n">
        <f aca="false">ABS(G7-E7)</f>
        <v>230000</v>
      </c>
    </row>
    <row r="8" customFormat="false" ht="18" hidden="false" customHeight="true" outlineLevel="0" collapsed="false">
      <c r="B8" s="24" t="str">
        <f aca="false">'Input BIA'!B14</f>
        <v>Downtime Reti/Connettività</v>
      </c>
      <c r="C8" s="25" t="str">
        <f aca="false">'Input BIA'!C14</f>
        <v>Tecnologia</v>
      </c>
      <c r="D8" s="25" t="str">
        <f aca="false">'Input BIA'!D14</f>
        <v>ore</v>
      </c>
      <c r="E8" s="26" t="n">
        <f aca="false">'Input BIA'!E14*'Input BIA'!H14</f>
        <v>3000</v>
      </c>
      <c r="F8" s="26" t="n">
        <f aca="false">'Input BIA'!F14*'Input BIA'!H14</f>
        <v>12000</v>
      </c>
      <c r="G8" s="26" t="n">
        <f aca="false">'Input BIA'!G14*'Input BIA'!H14</f>
        <v>72000</v>
      </c>
      <c r="H8" s="27" t="n">
        <f aca="false">E8-F8</f>
        <v>-9000</v>
      </c>
      <c r="I8" s="26" t="n">
        <f aca="false">G8-F8</f>
        <v>60000</v>
      </c>
      <c r="J8" s="26" t="n">
        <f aca="false">G8-E8</f>
        <v>69000</v>
      </c>
      <c r="K8" s="28" t="n">
        <f aca="false">IF(F8&lt;&gt;0,(E8-F8)/ABS(F8),0)</f>
        <v>-0.75</v>
      </c>
      <c r="L8" s="28" t="n">
        <f aca="false">IF(F8&lt;&gt;0,(G8-F8)/ABS(F8),0)</f>
        <v>5</v>
      </c>
      <c r="M8" s="26" t="n">
        <f aca="false">ABS(G8-E8)</f>
        <v>69000</v>
      </c>
    </row>
    <row r="9" customFormat="false" ht="18" hidden="false" customHeight="true" outlineLevel="0" collapsed="false">
      <c r="B9" s="19" t="str">
        <f aca="false">'Input BIA'!B15</f>
        <v>Tempo di Recupero RTO</v>
      </c>
      <c r="C9" s="20" t="str">
        <f aca="false">'Input BIA'!C15</f>
        <v>Tecnologia</v>
      </c>
      <c r="D9" s="20" t="str">
        <f aca="false">'Input BIA'!D15</f>
        <v>ore</v>
      </c>
      <c r="E9" s="21" t="n">
        <f aca="false">'Input BIA'!E15*'Input BIA'!H15</f>
        <v>32000</v>
      </c>
      <c r="F9" s="21" t="n">
        <f aca="false">'Input BIA'!F15*'Input BIA'!H15</f>
        <v>96000</v>
      </c>
      <c r="G9" s="21" t="n">
        <f aca="false">'Input BIA'!G15*'Input BIA'!H15</f>
        <v>576000</v>
      </c>
      <c r="H9" s="22" t="n">
        <f aca="false">E9-F9</f>
        <v>-64000</v>
      </c>
      <c r="I9" s="21" t="n">
        <f aca="false">G9-F9</f>
        <v>480000</v>
      </c>
      <c r="J9" s="21" t="n">
        <f aca="false">G9-E9</f>
        <v>544000</v>
      </c>
      <c r="K9" s="23" t="n">
        <f aca="false">IF(F9&lt;&gt;0,(E9-F9)/ABS(F9),0)</f>
        <v>-0.666666666666667</v>
      </c>
      <c r="L9" s="23" t="n">
        <f aca="false">IF(F9&lt;&gt;0,(G9-F9)/ABS(F9),0)</f>
        <v>5</v>
      </c>
      <c r="M9" s="21" t="n">
        <f aca="false">ABS(G9-E9)</f>
        <v>544000</v>
      </c>
    </row>
    <row r="10" customFormat="false" ht="18" hidden="false" customHeight="true" outlineLevel="0" collapsed="false">
      <c r="B10" s="24" t="str">
        <f aca="false">'Input BIA'!B16</f>
        <v>Tempo di Recupero RPO</v>
      </c>
      <c r="C10" s="25" t="str">
        <f aca="false">'Input BIA'!C16</f>
        <v>Continuità</v>
      </c>
      <c r="D10" s="25" t="str">
        <f aca="false">'Input BIA'!D16</f>
        <v>ore</v>
      </c>
      <c r="E10" s="26" t="n">
        <f aca="false">'Input BIA'!E16*'Input BIA'!H16</f>
        <v>4500</v>
      </c>
      <c r="F10" s="26" t="n">
        <f aca="false">'Input BIA'!F16*'Input BIA'!H16</f>
        <v>27000</v>
      </c>
      <c r="G10" s="26" t="n">
        <f aca="false">'Input BIA'!G16*'Input BIA'!H16</f>
        <v>108000</v>
      </c>
      <c r="H10" s="27" t="n">
        <f aca="false">E10-F10</f>
        <v>-22500</v>
      </c>
      <c r="I10" s="26" t="n">
        <f aca="false">G10-F10</f>
        <v>81000</v>
      </c>
      <c r="J10" s="26" t="n">
        <f aca="false">G10-E10</f>
        <v>103500</v>
      </c>
      <c r="K10" s="28" t="n">
        <f aca="false">IF(F10&lt;&gt;0,(E10-F10)/ABS(F10),0)</f>
        <v>-0.833333333333333</v>
      </c>
      <c r="L10" s="28" t="n">
        <f aca="false">IF(F10&lt;&gt;0,(G10-F10)/ABS(F10),0)</f>
        <v>3</v>
      </c>
      <c r="M10" s="26" t="n">
        <f aca="false">ABS(G10-E10)</f>
        <v>103500</v>
      </c>
    </row>
    <row r="11" customFormat="false" ht="18" hidden="false" customHeight="true" outlineLevel="0" collapsed="false">
      <c r="B11" s="19" t="str">
        <f aca="false">'Input BIA'!B17</f>
        <v>Perdita di Ricavi</v>
      </c>
      <c r="C11" s="20" t="str">
        <f aca="false">'Input BIA'!C17</f>
        <v>Finanziario</v>
      </c>
      <c r="D11" s="20" t="str">
        <f aca="false">'Input BIA'!D17</f>
        <v>€/ora</v>
      </c>
      <c r="E11" s="21" t="n">
        <f aca="false">'Input BIA'!E17*'Input BIA'!H17</f>
        <v>500</v>
      </c>
      <c r="F11" s="21" t="n">
        <f aca="false">'Input BIA'!F17*'Input BIA'!H17</f>
        <v>2000</v>
      </c>
      <c r="G11" s="21" t="n">
        <f aca="false">'Input BIA'!G17*'Input BIA'!H17</f>
        <v>8000</v>
      </c>
      <c r="H11" s="22" t="n">
        <f aca="false">E11-F11</f>
        <v>-1500</v>
      </c>
      <c r="I11" s="21" t="n">
        <f aca="false">G11-F11</f>
        <v>6000</v>
      </c>
      <c r="J11" s="21" t="n">
        <f aca="false">G11-E11</f>
        <v>7500</v>
      </c>
      <c r="K11" s="23" t="n">
        <f aca="false">IF(F11&lt;&gt;0,(E11-F11)/ABS(F11),0)</f>
        <v>-0.75</v>
      </c>
      <c r="L11" s="23" t="n">
        <f aca="false">IF(F11&lt;&gt;0,(G11-F11)/ABS(F11),0)</f>
        <v>3</v>
      </c>
      <c r="M11" s="21" t="n">
        <f aca="false">ABS(G11-E11)</f>
        <v>7500</v>
      </c>
    </row>
    <row r="12" customFormat="false" ht="18" hidden="false" customHeight="true" outlineLevel="0" collapsed="false">
      <c r="B12" s="24" t="str">
        <f aca="false">'Input BIA'!B18</f>
        <v>Costi di Recupero IT</v>
      </c>
      <c r="C12" s="25" t="str">
        <f aca="false">'Input BIA'!C18</f>
        <v>Finanziario</v>
      </c>
      <c r="D12" s="25" t="str">
        <f aca="false">'Input BIA'!D18</f>
        <v>€</v>
      </c>
      <c r="E12" s="26" t="n">
        <f aca="false">'Input BIA'!E18*'Input BIA'!H18</f>
        <v>5000</v>
      </c>
      <c r="F12" s="26" t="n">
        <f aca="false">'Input BIA'!F18*'Input BIA'!H18</f>
        <v>15000</v>
      </c>
      <c r="G12" s="26" t="n">
        <f aca="false">'Input BIA'!G18*'Input BIA'!H18</f>
        <v>80000</v>
      </c>
      <c r="H12" s="27" t="n">
        <f aca="false">E12-F12</f>
        <v>-10000</v>
      </c>
      <c r="I12" s="26" t="n">
        <f aca="false">G12-F12</f>
        <v>65000</v>
      </c>
      <c r="J12" s="26" t="n">
        <f aca="false">G12-E12</f>
        <v>75000</v>
      </c>
      <c r="K12" s="28" t="n">
        <f aca="false">IF(F12&lt;&gt;0,(E12-F12)/ABS(F12),0)</f>
        <v>-0.666666666666667</v>
      </c>
      <c r="L12" s="28" t="n">
        <f aca="false">IF(F12&lt;&gt;0,(G12-F12)/ABS(F12),0)</f>
        <v>4.33333333333333</v>
      </c>
      <c r="M12" s="26" t="n">
        <f aca="false">ABS(G12-E12)</f>
        <v>75000</v>
      </c>
    </row>
    <row r="13" customFormat="false" ht="18" hidden="false" customHeight="true" outlineLevel="0" collapsed="false">
      <c r="B13" s="19" t="str">
        <f aca="false">'Input BIA'!B19</f>
        <v>Costi di Risposta Incidente</v>
      </c>
      <c r="C13" s="20" t="str">
        <f aca="false">'Input BIA'!C19</f>
        <v>Finanziario</v>
      </c>
      <c r="D13" s="20" t="str">
        <f aca="false">'Input BIA'!D19</f>
        <v>€</v>
      </c>
      <c r="E13" s="21" t="n">
        <f aca="false">'Input BIA'!E19*'Input BIA'!H19</f>
        <v>2000</v>
      </c>
      <c r="F13" s="21" t="n">
        <f aca="false">'Input BIA'!F19*'Input BIA'!H19</f>
        <v>8000</v>
      </c>
      <c r="G13" s="21" t="n">
        <f aca="false">'Input BIA'!G19*'Input BIA'!H19</f>
        <v>30000</v>
      </c>
      <c r="H13" s="22" t="n">
        <f aca="false">E13-F13</f>
        <v>-6000</v>
      </c>
      <c r="I13" s="21" t="n">
        <f aca="false">G13-F13</f>
        <v>22000</v>
      </c>
      <c r="J13" s="21" t="n">
        <f aca="false">G13-E13</f>
        <v>28000</v>
      </c>
      <c r="K13" s="23" t="n">
        <f aca="false">IF(F13&lt;&gt;0,(E13-F13)/ABS(F13),0)</f>
        <v>-0.75</v>
      </c>
      <c r="L13" s="23" t="n">
        <f aca="false">IF(F13&lt;&gt;0,(G13-F13)/ABS(F13),0)</f>
        <v>2.75</v>
      </c>
      <c r="M13" s="21" t="n">
        <f aca="false">ABS(G13-E13)</f>
        <v>28000</v>
      </c>
    </row>
    <row r="14" customFormat="false" ht="18" hidden="false" customHeight="true" outlineLevel="0" collapsed="false">
      <c r="B14" s="24" t="str">
        <f aca="false">'Input BIA'!B20</f>
        <v>Danno Reputazionale</v>
      </c>
      <c r="C14" s="25" t="str">
        <f aca="false">'Input BIA'!C20</f>
        <v>Strategico</v>
      </c>
      <c r="D14" s="25" t="str">
        <f aca="false">'Input BIA'!D20</f>
        <v>€ eq.</v>
      </c>
      <c r="E14" s="26" t="n">
        <f aca="false">'Input BIA'!E20*'Input BIA'!H20</f>
        <v>10000</v>
      </c>
      <c r="F14" s="26" t="n">
        <f aca="false">'Input BIA'!F20*'Input BIA'!H20</f>
        <v>50000</v>
      </c>
      <c r="G14" s="26" t="n">
        <f aca="false">'Input BIA'!G20*'Input BIA'!H20</f>
        <v>200000</v>
      </c>
      <c r="H14" s="27" t="n">
        <f aca="false">E14-F14</f>
        <v>-40000</v>
      </c>
      <c r="I14" s="26" t="n">
        <f aca="false">G14-F14</f>
        <v>150000</v>
      </c>
      <c r="J14" s="26" t="n">
        <f aca="false">G14-E14</f>
        <v>190000</v>
      </c>
      <c r="K14" s="28" t="n">
        <f aca="false">IF(F14&lt;&gt;0,(E14-F14)/ABS(F14),0)</f>
        <v>-0.8</v>
      </c>
      <c r="L14" s="28" t="n">
        <f aca="false">IF(F14&lt;&gt;0,(G14-F14)/ABS(F14),0)</f>
        <v>3</v>
      </c>
      <c r="M14" s="26" t="n">
        <f aca="false">ABS(G14-E14)</f>
        <v>190000</v>
      </c>
    </row>
    <row r="15" customFormat="false" ht="18" hidden="false" customHeight="true" outlineLevel="0" collapsed="false">
      <c r="B15" s="19" t="str">
        <f aca="false">'Input BIA'!B21</f>
        <v>Sanzioni Regolamentari</v>
      </c>
      <c r="C15" s="20" t="str">
        <f aca="false">'Input BIA'!C21</f>
        <v>Compliance</v>
      </c>
      <c r="D15" s="20" t="str">
        <f aca="false">'Input BIA'!D21</f>
        <v>€</v>
      </c>
      <c r="E15" s="21" t="n">
        <f aca="false">'Input BIA'!E21*'Input BIA'!H21</f>
        <v>0</v>
      </c>
      <c r="F15" s="21" t="n">
        <f aca="false">'Input BIA'!F21*'Input BIA'!H21</f>
        <v>5000</v>
      </c>
      <c r="G15" s="21" t="n">
        <f aca="false">'Input BIA'!G21*'Input BIA'!H21</f>
        <v>50000</v>
      </c>
      <c r="H15" s="22" t="n">
        <f aca="false">E15-F15</f>
        <v>-5000</v>
      </c>
      <c r="I15" s="21" t="n">
        <f aca="false">G15-F15</f>
        <v>45000</v>
      </c>
      <c r="J15" s="21" t="n">
        <f aca="false">G15-E15</f>
        <v>50000</v>
      </c>
      <c r="K15" s="23" t="n">
        <f aca="false">IF(F15&lt;&gt;0,(E15-F15)/ABS(F15),0)</f>
        <v>-1</v>
      </c>
      <c r="L15" s="23" t="n">
        <f aca="false">IF(F15&lt;&gt;0,(G15-F15)/ABS(F15),0)</f>
        <v>9</v>
      </c>
      <c r="M15" s="21" t="n">
        <f aca="false">ABS(G15-E15)</f>
        <v>50000</v>
      </c>
    </row>
    <row r="16" customFormat="false" ht="18" hidden="false" customHeight="true" outlineLevel="0" collapsed="false">
      <c r="B16" s="24" t="str">
        <f aca="false">'Input BIA'!B22</f>
        <v>Perdita Produttività</v>
      </c>
      <c r="C16" s="25" t="str">
        <f aca="false">'Input BIA'!C22</f>
        <v>Operativo</v>
      </c>
      <c r="D16" s="25" t="str">
        <f aca="false">'Input BIA'!D22</f>
        <v>%</v>
      </c>
      <c r="E16" s="26" t="n">
        <f aca="false">'Input BIA'!E22*'Input BIA'!H22</f>
        <v>5000</v>
      </c>
      <c r="F16" s="26" t="n">
        <f aca="false">'Input BIA'!F22*'Input BIA'!H22</f>
        <v>20000</v>
      </c>
      <c r="G16" s="26" t="n">
        <f aca="false">'Input BIA'!G22*'Input BIA'!H22</f>
        <v>60000</v>
      </c>
      <c r="H16" s="27" t="n">
        <f aca="false">E16-F16</f>
        <v>-15000</v>
      </c>
      <c r="I16" s="26" t="n">
        <f aca="false">G16-F16</f>
        <v>40000</v>
      </c>
      <c r="J16" s="26" t="n">
        <f aca="false">G16-E16</f>
        <v>55000</v>
      </c>
      <c r="K16" s="28" t="n">
        <f aca="false">IF(F16&lt;&gt;0,(E16-F16)/ABS(F16),0)</f>
        <v>-0.75</v>
      </c>
      <c r="L16" s="28" t="n">
        <f aca="false">IF(F16&lt;&gt;0,(G16-F16)/ABS(F16),0)</f>
        <v>2</v>
      </c>
      <c r="M16" s="26" t="n">
        <f aca="false">ABS(G16-E16)</f>
        <v>55000</v>
      </c>
    </row>
    <row r="17" customFormat="false" ht="18" hidden="false" customHeight="true" outlineLevel="0" collapsed="false">
      <c r="B17" s="19" t="str">
        <f aca="false">'Input BIA'!B23</f>
        <v>Costi di Comunicazione Crisi</v>
      </c>
      <c r="C17" s="20" t="str">
        <f aca="false">'Input BIA'!C23</f>
        <v>Operativo</v>
      </c>
      <c r="D17" s="20" t="str">
        <f aca="false">'Input BIA'!D23</f>
        <v>€</v>
      </c>
      <c r="E17" s="21" t="n">
        <f aca="false">'Input BIA'!E23*'Input BIA'!H23</f>
        <v>1000</v>
      </c>
      <c r="F17" s="21" t="n">
        <f aca="false">'Input BIA'!F23*'Input BIA'!H23</f>
        <v>5000</v>
      </c>
      <c r="G17" s="21" t="n">
        <f aca="false">'Input BIA'!G23*'Input BIA'!H23</f>
        <v>20000</v>
      </c>
      <c r="H17" s="22" t="n">
        <f aca="false">E17-F17</f>
        <v>-4000</v>
      </c>
      <c r="I17" s="21" t="n">
        <f aca="false">G17-F17</f>
        <v>15000</v>
      </c>
      <c r="J17" s="21" t="n">
        <f aca="false">G17-E17</f>
        <v>19000</v>
      </c>
      <c r="K17" s="23" t="n">
        <f aca="false">IF(F17&lt;&gt;0,(E17-F17)/ABS(F17),0)</f>
        <v>-0.8</v>
      </c>
      <c r="L17" s="23" t="n">
        <f aca="false">IF(F17&lt;&gt;0,(G17-F17)/ABS(F17),0)</f>
        <v>3</v>
      </c>
      <c r="M17" s="21" t="n">
        <f aca="false">ABS(G17-E17)</f>
        <v>19000</v>
      </c>
    </row>
    <row r="18" customFormat="false" ht="18" hidden="false" customHeight="true" outlineLevel="0" collapsed="false">
      <c r="B18" s="24" t="str">
        <f aca="false">'Input BIA'!B24</f>
        <v>Indisponibilità Fornitori</v>
      </c>
      <c r="C18" s="25" t="str">
        <f aca="false">'Input BIA'!C24</f>
        <v>Supply Chain</v>
      </c>
      <c r="D18" s="25" t="str">
        <f aca="false">'Input BIA'!D24</f>
        <v>giorni</v>
      </c>
      <c r="E18" s="26" t="n">
        <f aca="false">'Input BIA'!E24*'Input BIA'!H24</f>
        <v>12000</v>
      </c>
      <c r="F18" s="26" t="n">
        <f aca="false">'Input BIA'!F24*'Input BIA'!H24</f>
        <v>36000</v>
      </c>
      <c r="G18" s="26" t="n">
        <f aca="false">'Input BIA'!G24*'Input BIA'!H24</f>
        <v>180000</v>
      </c>
      <c r="H18" s="27" t="n">
        <f aca="false">E18-F18</f>
        <v>-24000</v>
      </c>
      <c r="I18" s="26" t="n">
        <f aca="false">G18-F18</f>
        <v>144000</v>
      </c>
      <c r="J18" s="26" t="n">
        <f aca="false">G18-E18</f>
        <v>168000</v>
      </c>
      <c r="K18" s="28" t="n">
        <f aca="false">IF(F18&lt;&gt;0,(E18-F18)/ABS(F18),0)</f>
        <v>-0.666666666666667</v>
      </c>
      <c r="L18" s="28" t="n">
        <f aca="false">IF(F18&lt;&gt;0,(G18-F18)/ABS(F18),0)</f>
        <v>4</v>
      </c>
      <c r="M18" s="26" t="n">
        <f aca="false">ABS(G18-E18)</f>
        <v>168000</v>
      </c>
    </row>
    <row r="19" customFormat="false" ht="19.5" hidden="false" customHeight="true" outlineLevel="0" collapsed="false">
      <c r="B19" s="29" t="s">
        <v>71</v>
      </c>
      <c r="E19" s="30" t="n">
        <f aca="false">SUM(E7:E18)</f>
        <v>85000</v>
      </c>
      <c r="F19" s="30" t="n">
        <f aca="false">SUM(F7:F18)</f>
        <v>316000</v>
      </c>
      <c r="G19" s="30" t="n">
        <f aca="false">SUM(G7:G18)</f>
        <v>1624000</v>
      </c>
      <c r="J19" s="30" t="n">
        <f aca="false">SUM(J7:J18)</f>
        <v>1539000</v>
      </c>
      <c r="M19" s="30" t="n">
        <f aca="false">SUM(M7:M18)</f>
        <v>1539000</v>
      </c>
    </row>
    <row r="22" customFormat="false" ht="21.75" hidden="false" customHeight="true" outlineLevel="0" collapsed="false">
      <c r="B22" s="3" t="s">
        <v>72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customFormat="false" ht="31.5" hidden="false" customHeight="true" outlineLevel="0" collapsed="false">
      <c r="B23" s="31" t="s">
        <v>73</v>
      </c>
      <c r="C23" s="32" t="n">
        <f aca="false">F19</f>
        <v>316000</v>
      </c>
      <c r="D23" s="31" t="s">
        <v>74</v>
      </c>
      <c r="E23" s="32" t="n">
        <f aca="false">G19</f>
        <v>1624000</v>
      </c>
      <c r="F23" s="31" t="s">
        <v>75</v>
      </c>
      <c r="G23" s="32" t="n">
        <f aca="false">E19</f>
        <v>85000</v>
      </c>
      <c r="H23" s="31" t="s">
        <v>76</v>
      </c>
      <c r="I23" s="32" t="n">
        <f aca="false">G19-E19</f>
        <v>1539000</v>
      </c>
      <c r="J23" s="31" t="s">
        <v>77</v>
      </c>
      <c r="K23" s="33" t="str">
        <f aca="false">INDEX('Input BIA'!B13:B24,MATCH(MAX(M7:M18),M7:M18,0))</f>
        <v>Tempo di Recupero RTO</v>
      </c>
      <c r="L23" s="31" t="s">
        <v>78</v>
      </c>
      <c r="M23" s="34" t="n">
        <f aca="false">IF(F19&lt;&gt;0,(G19-F19)/F19,0)</f>
        <v>4.13924050632911</v>
      </c>
    </row>
  </sheetData>
  <mergeCells count="4">
    <mergeCell ref="B2:N2"/>
    <mergeCell ref="B3:N3"/>
    <mergeCell ref="B5:M5"/>
    <mergeCell ref="B22:M22"/>
  </mergeCells>
  <conditionalFormatting sqref="H7:H18">
    <cfRule type="cellIs" priority="2" operator="lessThan" aboveAverage="0" equalAverage="0" bottom="0" percent="0" rank="0" text="" dxfId="0">
      <formula>0</formula>
    </cfRule>
  </conditionalFormatting>
  <conditionalFormatting sqref="I7:I18">
    <cfRule type="cellIs" priority="3" operator="greaterThan" aboveAverage="0" equalAverage="0" bottom="0" percent="0" rank="0" text="" dxfId="1">
      <formula>0</formula>
    </cfRule>
  </conditionalFormatting>
  <conditionalFormatting sqref="M7:M18">
    <cfRule type="dataBar" priority="4">
      <dataBar showValue="1" minLength="10" maxLength="90">
        <cfvo type="min" val="0"/>
        <cfvo type="max" val="0"/>
        <color rgb="FF20808D"/>
      </dataBar>
      <extLst>
        <ext xmlns:x14="http://schemas.microsoft.com/office/spreadsheetml/2009/9/main" uri="{B025F937-C7B1-47D3-B67F-A62EFF666E3E}">
          <x14:id>{F75FDF58-9089-4A9A-B23A-B6F054B7E954}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5FDF58-9089-4A9A-B23A-B6F054B7E954}">
            <x14:dataBar minLength="10" maxLength="90" axisPosition="none" gradient="true">
              <x14:cfvo type="min"/>
              <x14:cfvo type="max"/>
              <x14:negativeFillColor rgb="FF20808D"/>
              <x14:axisColor rgb="FF000000"/>
            </x14:dataBar>
          </x14:cfRule>
          <xm:sqref>M7:M18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CE2E7"/>
    <pageSetUpPr fitToPage="false"/>
  </sheetPr>
  <dimension ref="B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8" min="3" style="0" width="18"/>
  </cols>
  <sheetData>
    <row r="1" customFormat="false" ht="7.5" hidden="false" customHeight="true" outlineLevel="0" collapsed="false"/>
    <row r="2" customFormat="false" ht="24" hidden="false" customHeight="true" outlineLevel="0" collapsed="false">
      <c r="B2" s="35" t="s">
        <v>79</v>
      </c>
      <c r="C2" s="35"/>
      <c r="D2" s="35"/>
      <c r="E2" s="35"/>
      <c r="F2" s="35"/>
      <c r="G2" s="35"/>
      <c r="H2" s="35"/>
      <c r="I2" s="35"/>
      <c r="J2" s="35"/>
    </row>
    <row r="3" customFormat="false" ht="15" hidden="false" customHeight="false" outlineLevel="0" collapsed="false">
      <c r="B3" s="17" t="s">
        <v>80</v>
      </c>
      <c r="C3" s="17"/>
      <c r="D3" s="17"/>
      <c r="E3" s="17"/>
      <c r="F3" s="17"/>
      <c r="G3" s="17"/>
      <c r="H3" s="17"/>
      <c r="I3" s="17"/>
      <c r="J3" s="17"/>
    </row>
    <row r="4" customFormat="false" ht="7.5" hidden="false" customHeight="true" outlineLevel="0" collapsed="false"/>
    <row r="5" customFormat="false" ht="36" hidden="false" customHeight="true" outlineLevel="0" collapsed="false">
      <c r="B5" s="7" t="s">
        <v>12</v>
      </c>
      <c r="C5" s="7" t="s">
        <v>81</v>
      </c>
      <c r="D5" s="7" t="s">
        <v>82</v>
      </c>
      <c r="E5" s="7" t="s">
        <v>83</v>
      </c>
      <c r="F5" s="7" t="s">
        <v>70</v>
      </c>
      <c r="G5" s="7" t="s">
        <v>84</v>
      </c>
      <c r="H5" s="7" t="s">
        <v>85</v>
      </c>
    </row>
    <row r="6" customFormat="false" ht="18" hidden="false" customHeight="true" outlineLevel="0" collapsed="false">
      <c r="B6" s="19" t="str">
        <f aca="false">INDEX('Calcoli BIA'!B7:B18,MATCH(LARGE('Calcoli BIA'!M7:M18,1),'Calcoli BIA'!M7:M18,0))</f>
        <v>Tempo di Recupero RTO</v>
      </c>
      <c r="C6" s="21" t="n">
        <f aca="false">INDEX('Calcoli BIA'!F7:F18,MATCH(LARGE('Calcoli BIA'!M7:M18,1),'Calcoli BIA'!M7:M18,0))</f>
        <v>96000</v>
      </c>
      <c r="D6" s="22" t="n">
        <f aca="false">INDEX('Calcoli BIA'!H7:H18,MATCH(LARGE('Calcoli BIA'!M7:M18,1),'Calcoli BIA'!M7:M18,0))</f>
        <v>-64000</v>
      </c>
      <c r="E6" s="21" t="n">
        <f aca="false">INDEX('Calcoli BIA'!I7:I18,MATCH(LARGE('Calcoli BIA'!M7:M18,1),'Calcoli BIA'!M7:M18,0))</f>
        <v>480000</v>
      </c>
      <c r="F6" s="21" t="n">
        <f aca="false">LARGE('Calcoli BIA'!M7:M18,1)</f>
        <v>544000</v>
      </c>
      <c r="G6" s="36" t="n">
        <f aca="false">INDEX('Input BIA'!I13:I24,MATCH(LARGE('Calcoli BIA'!M7:M18,1),'Calcoli BIA'!M7:M18,0))</f>
        <v>5</v>
      </c>
      <c r="H6" s="36" t="n">
        <v>1</v>
      </c>
    </row>
    <row r="7" customFormat="false" ht="18" hidden="false" customHeight="true" outlineLevel="0" collapsed="false">
      <c r="B7" s="24" t="str">
        <f aca="false">INDEX('Calcoli BIA'!B7:B18,MATCH(LARGE('Calcoli BIA'!M7:M18,2),'Calcoli BIA'!M7:M18,0))</f>
        <v>Downtime Sistemi IT</v>
      </c>
      <c r="C7" s="26" t="n">
        <f aca="false">INDEX('Calcoli BIA'!F7:F18,MATCH(LARGE('Calcoli BIA'!M7:M18,2),'Calcoli BIA'!M7:M18,0))</f>
        <v>40000</v>
      </c>
      <c r="D7" s="27" t="n">
        <f aca="false">INDEX('Calcoli BIA'!H7:H18,MATCH(LARGE('Calcoli BIA'!M7:M18,2),'Calcoli BIA'!M7:M18,0))</f>
        <v>-30000</v>
      </c>
      <c r="E7" s="26" t="n">
        <f aca="false">INDEX('Calcoli BIA'!I7:I18,MATCH(LARGE('Calcoli BIA'!M7:M18,2),'Calcoli BIA'!M7:M18,0))</f>
        <v>200000</v>
      </c>
      <c r="F7" s="26" t="n">
        <f aca="false">LARGE('Calcoli BIA'!M7:M18,2)</f>
        <v>230000</v>
      </c>
      <c r="G7" s="37" t="n">
        <f aca="false">INDEX('Input BIA'!I13:I24,MATCH(LARGE('Calcoli BIA'!M7:M18,2),'Calcoli BIA'!M7:M18,0))</f>
        <v>5</v>
      </c>
      <c r="H7" s="37" t="n">
        <v>2</v>
      </c>
    </row>
    <row r="8" customFormat="false" ht="18" hidden="false" customHeight="true" outlineLevel="0" collapsed="false">
      <c r="B8" s="19" t="str">
        <f aca="false">INDEX('Calcoli BIA'!B7:B18,MATCH(LARGE('Calcoli BIA'!M7:M18,3),'Calcoli BIA'!M7:M18,0))</f>
        <v>Danno Reputazionale</v>
      </c>
      <c r="C8" s="21" t="n">
        <f aca="false">INDEX('Calcoli BIA'!F7:F18,MATCH(LARGE('Calcoli BIA'!M7:M18,3),'Calcoli BIA'!M7:M18,0))</f>
        <v>50000</v>
      </c>
      <c r="D8" s="22" t="n">
        <f aca="false">INDEX('Calcoli BIA'!H7:H18,MATCH(LARGE('Calcoli BIA'!M7:M18,3),'Calcoli BIA'!M7:M18,0))</f>
        <v>-40000</v>
      </c>
      <c r="E8" s="21" t="n">
        <f aca="false">INDEX('Calcoli BIA'!I7:I18,MATCH(LARGE('Calcoli BIA'!M7:M18,3),'Calcoli BIA'!M7:M18,0))</f>
        <v>150000</v>
      </c>
      <c r="F8" s="21" t="n">
        <f aca="false">LARGE('Calcoli BIA'!M7:M18,3)</f>
        <v>190000</v>
      </c>
      <c r="G8" s="36" t="n">
        <f aca="false">INDEX('Input BIA'!I13:I24,MATCH(LARGE('Calcoli BIA'!M7:M18,3),'Calcoli BIA'!M7:M18,0))</f>
        <v>4</v>
      </c>
      <c r="H8" s="36" t="n">
        <v>3</v>
      </c>
    </row>
    <row r="9" customFormat="false" ht="18" hidden="false" customHeight="true" outlineLevel="0" collapsed="false">
      <c r="B9" s="24" t="str">
        <f aca="false">INDEX('Calcoli BIA'!B7:B18,MATCH(LARGE('Calcoli BIA'!M7:M18,4),'Calcoli BIA'!M7:M18,0))</f>
        <v>Indisponibilità Fornitori</v>
      </c>
      <c r="C9" s="26" t="n">
        <f aca="false">INDEX('Calcoli BIA'!F7:F18,MATCH(LARGE('Calcoli BIA'!M7:M18,4),'Calcoli BIA'!M7:M18,0))</f>
        <v>36000</v>
      </c>
      <c r="D9" s="27" t="n">
        <f aca="false">INDEX('Calcoli BIA'!H7:H18,MATCH(LARGE('Calcoli BIA'!M7:M18,4),'Calcoli BIA'!M7:M18,0))</f>
        <v>-24000</v>
      </c>
      <c r="E9" s="26" t="n">
        <f aca="false">INDEX('Calcoli BIA'!I7:I18,MATCH(LARGE('Calcoli BIA'!M7:M18,4),'Calcoli BIA'!M7:M18,0))</f>
        <v>144000</v>
      </c>
      <c r="F9" s="26" t="n">
        <f aca="false">LARGE('Calcoli BIA'!M7:M18,4)</f>
        <v>168000</v>
      </c>
      <c r="G9" s="37" t="n">
        <f aca="false">INDEX('Input BIA'!I13:I24,MATCH(LARGE('Calcoli BIA'!M7:M18,4),'Calcoli BIA'!M7:M18,0))</f>
        <v>3</v>
      </c>
      <c r="H9" s="37" t="n">
        <v>4</v>
      </c>
    </row>
    <row r="10" customFormat="false" ht="18" hidden="false" customHeight="true" outlineLevel="0" collapsed="false">
      <c r="B10" s="19" t="str">
        <f aca="false">INDEX('Calcoli BIA'!B7:B18,MATCH(LARGE('Calcoli BIA'!M7:M18,5),'Calcoli BIA'!M7:M18,0))</f>
        <v>Tempo di Recupero RPO</v>
      </c>
      <c r="C10" s="21" t="n">
        <f aca="false">INDEX('Calcoli BIA'!F7:F18,MATCH(LARGE('Calcoli BIA'!M7:M18,5),'Calcoli BIA'!M7:M18,0))</f>
        <v>27000</v>
      </c>
      <c r="D10" s="22" t="n">
        <f aca="false">INDEX('Calcoli BIA'!H7:H18,MATCH(LARGE('Calcoli BIA'!M7:M18,5),'Calcoli BIA'!M7:M18,0))</f>
        <v>-22500</v>
      </c>
      <c r="E10" s="21" t="n">
        <f aca="false">INDEX('Calcoli BIA'!I7:I18,MATCH(LARGE('Calcoli BIA'!M7:M18,5),'Calcoli BIA'!M7:M18,0))</f>
        <v>81000</v>
      </c>
      <c r="F10" s="21" t="n">
        <f aca="false">LARGE('Calcoli BIA'!M7:M18,5)</f>
        <v>103500</v>
      </c>
      <c r="G10" s="36" t="n">
        <f aca="false">INDEX('Input BIA'!I13:I24,MATCH(LARGE('Calcoli BIA'!M7:M18,5),'Calcoli BIA'!M7:M18,0))</f>
        <v>4</v>
      </c>
      <c r="H10" s="36" t="n">
        <v>5</v>
      </c>
    </row>
    <row r="11" customFormat="false" ht="18" hidden="false" customHeight="true" outlineLevel="0" collapsed="false">
      <c r="B11" s="24" t="str">
        <f aca="false">INDEX('Calcoli BIA'!B7:B18,MATCH(LARGE('Calcoli BIA'!M7:M18,6),'Calcoli BIA'!M7:M18,0))</f>
        <v>Costi di Recupero IT</v>
      </c>
      <c r="C11" s="26" t="n">
        <f aca="false">INDEX('Calcoli BIA'!F7:F18,MATCH(LARGE('Calcoli BIA'!M7:M18,6),'Calcoli BIA'!M7:M18,0))</f>
        <v>15000</v>
      </c>
      <c r="D11" s="27" t="n">
        <f aca="false">INDEX('Calcoli BIA'!H7:H18,MATCH(LARGE('Calcoli BIA'!M7:M18,6),'Calcoli BIA'!M7:M18,0))</f>
        <v>-10000</v>
      </c>
      <c r="E11" s="26" t="n">
        <f aca="false">INDEX('Calcoli BIA'!I7:I18,MATCH(LARGE('Calcoli BIA'!M7:M18,6),'Calcoli BIA'!M7:M18,0))</f>
        <v>65000</v>
      </c>
      <c r="F11" s="26" t="n">
        <f aca="false">LARGE('Calcoli BIA'!M7:M18,6)</f>
        <v>75000</v>
      </c>
      <c r="G11" s="37" t="n">
        <f aca="false">INDEX('Input BIA'!I13:I24,MATCH(LARGE('Calcoli BIA'!M7:M18,6),'Calcoli BIA'!M7:M18,0))</f>
        <v>4</v>
      </c>
      <c r="H11" s="37" t="n">
        <v>6</v>
      </c>
    </row>
    <row r="12" customFormat="false" ht="18" hidden="false" customHeight="true" outlineLevel="0" collapsed="false">
      <c r="B12" s="19" t="str">
        <f aca="false">INDEX('Calcoli BIA'!B7:B18,MATCH(LARGE('Calcoli BIA'!M7:M18,7),'Calcoli BIA'!M7:M18,0))</f>
        <v>Downtime Reti/Connettività</v>
      </c>
      <c r="C12" s="21" t="n">
        <f aca="false">INDEX('Calcoli BIA'!F7:F18,MATCH(LARGE('Calcoli BIA'!M7:M18,7),'Calcoli BIA'!M7:M18,0))</f>
        <v>12000</v>
      </c>
      <c r="D12" s="22" t="n">
        <f aca="false">INDEX('Calcoli BIA'!H7:H18,MATCH(LARGE('Calcoli BIA'!M7:M18,7),'Calcoli BIA'!M7:M18,0))</f>
        <v>-9000</v>
      </c>
      <c r="E12" s="21" t="n">
        <f aca="false">INDEX('Calcoli BIA'!I7:I18,MATCH(LARGE('Calcoli BIA'!M7:M18,7),'Calcoli BIA'!M7:M18,0))</f>
        <v>60000</v>
      </c>
      <c r="F12" s="21" t="n">
        <f aca="false">LARGE('Calcoli BIA'!M7:M18,7)</f>
        <v>69000</v>
      </c>
      <c r="G12" s="36" t="n">
        <f aca="false">INDEX('Input BIA'!I13:I24,MATCH(LARGE('Calcoli BIA'!M7:M18,7),'Calcoli BIA'!M7:M18,0))</f>
        <v>4</v>
      </c>
      <c r="H12" s="36" t="n">
        <v>7</v>
      </c>
    </row>
    <row r="13" customFormat="false" ht="18" hidden="false" customHeight="true" outlineLevel="0" collapsed="false">
      <c r="B13" s="24" t="str">
        <f aca="false">INDEX('Calcoli BIA'!B7:B18,MATCH(LARGE('Calcoli BIA'!M7:M18,8),'Calcoli BIA'!M7:M18,0))</f>
        <v>Perdita Produttività</v>
      </c>
      <c r="C13" s="26" t="n">
        <f aca="false">INDEX('Calcoli BIA'!F7:F18,MATCH(LARGE('Calcoli BIA'!M7:M18,8),'Calcoli BIA'!M7:M18,0))</f>
        <v>20000</v>
      </c>
      <c r="D13" s="27" t="n">
        <f aca="false">INDEX('Calcoli BIA'!H7:H18,MATCH(LARGE('Calcoli BIA'!M7:M18,8),'Calcoli BIA'!M7:M18,0))</f>
        <v>-15000</v>
      </c>
      <c r="E13" s="26" t="n">
        <f aca="false">INDEX('Calcoli BIA'!I7:I18,MATCH(LARGE('Calcoli BIA'!M7:M18,8),'Calcoli BIA'!M7:M18,0))</f>
        <v>40000</v>
      </c>
      <c r="F13" s="26" t="n">
        <f aca="false">LARGE('Calcoli BIA'!M7:M18,8)</f>
        <v>55000</v>
      </c>
      <c r="G13" s="37" t="n">
        <f aca="false">INDEX('Input BIA'!I13:I24,MATCH(LARGE('Calcoli BIA'!M7:M18,8),'Calcoli BIA'!M7:M18,0))</f>
        <v>3</v>
      </c>
      <c r="H13" s="37" t="n">
        <v>8</v>
      </c>
    </row>
    <row r="14" customFormat="false" ht="18" hidden="false" customHeight="true" outlineLevel="0" collapsed="false">
      <c r="B14" s="19" t="str">
        <f aca="false">INDEX('Calcoli BIA'!B7:B18,MATCH(LARGE('Calcoli BIA'!M7:M18,9),'Calcoli BIA'!M7:M18,0))</f>
        <v>Sanzioni Regolamentari</v>
      </c>
      <c r="C14" s="21" t="n">
        <f aca="false">INDEX('Calcoli BIA'!F7:F18,MATCH(LARGE('Calcoli BIA'!M7:M18,9),'Calcoli BIA'!M7:M18,0))</f>
        <v>5000</v>
      </c>
      <c r="D14" s="22" t="n">
        <f aca="false">INDEX('Calcoli BIA'!H7:H18,MATCH(LARGE('Calcoli BIA'!M7:M18,9),'Calcoli BIA'!M7:M18,0))</f>
        <v>-5000</v>
      </c>
      <c r="E14" s="21" t="n">
        <f aca="false">INDEX('Calcoli BIA'!I7:I18,MATCH(LARGE('Calcoli BIA'!M7:M18,9),'Calcoli BIA'!M7:M18,0))</f>
        <v>45000</v>
      </c>
      <c r="F14" s="21" t="n">
        <f aca="false">LARGE('Calcoli BIA'!M7:M18,9)</f>
        <v>50000</v>
      </c>
      <c r="G14" s="36" t="n">
        <f aca="false">INDEX('Input BIA'!I13:I24,MATCH(LARGE('Calcoli BIA'!M7:M18,9),'Calcoli BIA'!M7:M18,0))</f>
        <v>3</v>
      </c>
      <c r="H14" s="36" t="n">
        <v>9</v>
      </c>
    </row>
    <row r="15" customFormat="false" ht="18" hidden="false" customHeight="true" outlineLevel="0" collapsed="false">
      <c r="B15" s="24" t="str">
        <f aca="false">INDEX('Calcoli BIA'!B7:B18,MATCH(LARGE('Calcoli BIA'!M7:M18,10),'Calcoli BIA'!M7:M18,0))</f>
        <v>Costi di Risposta Incidente</v>
      </c>
      <c r="C15" s="26" t="n">
        <f aca="false">INDEX('Calcoli BIA'!F7:F18,MATCH(LARGE('Calcoli BIA'!M7:M18,10),'Calcoli BIA'!M7:M18,0))</f>
        <v>8000</v>
      </c>
      <c r="D15" s="27" t="n">
        <f aca="false">INDEX('Calcoli BIA'!H7:H18,MATCH(LARGE('Calcoli BIA'!M7:M18,10),'Calcoli BIA'!M7:M18,0))</f>
        <v>-6000</v>
      </c>
      <c r="E15" s="26" t="n">
        <f aca="false">INDEX('Calcoli BIA'!I7:I18,MATCH(LARGE('Calcoli BIA'!M7:M18,10),'Calcoli BIA'!M7:M18,0))</f>
        <v>22000</v>
      </c>
      <c r="F15" s="26" t="n">
        <f aca="false">LARGE('Calcoli BIA'!M7:M18,10)</f>
        <v>28000</v>
      </c>
      <c r="G15" s="37" t="n">
        <f aca="false">INDEX('Input BIA'!I13:I24,MATCH(LARGE('Calcoli BIA'!M7:M18,10),'Calcoli BIA'!M7:M18,0))</f>
        <v>3</v>
      </c>
      <c r="H15" s="37" t="n">
        <v>10</v>
      </c>
    </row>
    <row r="16" customFormat="false" ht="18" hidden="false" customHeight="true" outlineLevel="0" collapsed="false">
      <c r="B16" s="19" t="str">
        <f aca="false">INDEX('Calcoli BIA'!B7:B18,MATCH(LARGE('Calcoli BIA'!M7:M18,11),'Calcoli BIA'!M7:M18,0))</f>
        <v>Costi di Comunicazione Crisi</v>
      </c>
      <c r="C16" s="21" t="n">
        <f aca="false">INDEX('Calcoli BIA'!F7:F18,MATCH(LARGE('Calcoli BIA'!M7:M18,11),'Calcoli BIA'!M7:M18,0))</f>
        <v>5000</v>
      </c>
      <c r="D16" s="22" t="n">
        <f aca="false">INDEX('Calcoli BIA'!H7:H18,MATCH(LARGE('Calcoli BIA'!M7:M18,11),'Calcoli BIA'!M7:M18,0))</f>
        <v>-4000</v>
      </c>
      <c r="E16" s="21" t="n">
        <f aca="false">INDEX('Calcoli BIA'!I7:I18,MATCH(LARGE('Calcoli BIA'!M7:M18,11),'Calcoli BIA'!M7:M18,0))</f>
        <v>15000</v>
      </c>
      <c r="F16" s="21" t="n">
        <f aca="false">LARGE('Calcoli BIA'!M7:M18,11)</f>
        <v>19000</v>
      </c>
      <c r="G16" s="36" t="n">
        <f aca="false">INDEX('Input BIA'!I13:I24,MATCH(LARGE('Calcoli BIA'!M7:M18,11),'Calcoli BIA'!M7:M18,0))</f>
        <v>2</v>
      </c>
      <c r="H16" s="36" t="n">
        <v>11</v>
      </c>
    </row>
    <row r="17" customFormat="false" ht="18" hidden="false" customHeight="true" outlineLevel="0" collapsed="false">
      <c r="B17" s="24" t="str">
        <f aca="false">INDEX('Calcoli BIA'!B7:B18,MATCH(LARGE('Calcoli BIA'!M7:M18,12),'Calcoli BIA'!M7:M18,0))</f>
        <v>Perdita di Ricavi</v>
      </c>
      <c r="C17" s="26" t="n">
        <f aca="false">INDEX('Calcoli BIA'!F7:F18,MATCH(LARGE('Calcoli BIA'!M7:M18,12),'Calcoli BIA'!M7:M18,0))</f>
        <v>2000</v>
      </c>
      <c r="D17" s="27" t="n">
        <f aca="false">INDEX('Calcoli BIA'!H7:H18,MATCH(LARGE('Calcoli BIA'!M7:M18,12),'Calcoli BIA'!M7:M18,0))</f>
        <v>-1500</v>
      </c>
      <c r="E17" s="26" t="n">
        <f aca="false">INDEX('Calcoli BIA'!I7:I18,MATCH(LARGE('Calcoli BIA'!M7:M18,12),'Calcoli BIA'!M7:M18,0))</f>
        <v>6000</v>
      </c>
      <c r="F17" s="26" t="n">
        <f aca="false">LARGE('Calcoli BIA'!M7:M18,12)</f>
        <v>7500</v>
      </c>
      <c r="G17" s="37" t="n">
        <f aca="false">INDEX('Input BIA'!I13:I24,MATCH(LARGE('Calcoli BIA'!M7:M18,12),'Calcoli BIA'!M7:M18,0))</f>
        <v>5</v>
      </c>
      <c r="H17" s="37" t="n">
        <v>12</v>
      </c>
    </row>
  </sheetData>
  <mergeCells count="2">
    <mergeCell ref="B2:J2"/>
    <mergeCell ref="B3:J3"/>
  </mergeCells>
  <conditionalFormatting sqref="F6:F17">
    <cfRule type="dataBar" priority="2">
      <dataBar showValue="1" minLength="10" maxLength="90">
        <cfvo type="min" val="0"/>
        <cfvo type="max" val="0"/>
        <color rgb="FF20808D"/>
      </dataBar>
      <extLst>
        <ext xmlns:x14="http://schemas.microsoft.com/office/spreadsheetml/2009/9/main" uri="{B025F937-C7B1-47D3-B67F-A62EFF666E3E}">
          <x14:id>{222EA7D8-C358-4081-8DFA-B2EBB020FEDE}</x14:id>
        </ext>
      </extLst>
    </cfRule>
  </conditionalFormatting>
  <conditionalFormatting sqref="G6:G17">
    <cfRule type="colorScale" priority="3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2EA7D8-C358-4081-8DFA-B2EBB020FEDE}">
            <x14:dataBar minLength="10" maxLength="90" axisPosition="none" gradient="true">
              <x14:cfvo type="min"/>
              <x14:cfvo type="max"/>
              <x14:negativeFillColor rgb="FF20808D"/>
              <x14:axisColor rgb="FF000000"/>
            </x14:dataBar>
          </x14:cfRule>
          <xm:sqref>F6:F17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553"/>
    <pageSetUpPr fitToPage="false"/>
  </sheetPr>
  <dimension ref="B1:P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3" min="3" style="0" width="32"/>
    <col collapsed="false" customWidth="true" hidden="false" outlineLevel="0" max="6" min="4" style="0" width="18"/>
  </cols>
  <sheetData>
    <row r="1" customFormat="false" ht="7.5" hidden="false" customHeight="true" outlineLevel="0" collapsed="false"/>
    <row r="2" customFormat="false" ht="31.5" hidden="false" customHeight="true" outlineLevel="0" collapsed="false">
      <c r="B2" s="38" t="s">
        <v>86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</row>
    <row r="3" customFormat="false" ht="15" hidden="false" customHeight="false" outlineLevel="0" collapsed="false">
      <c r="B3" s="17" t="s">
        <v>87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</row>
    <row r="4" customFormat="false" ht="7.5" hidden="false" customHeight="true" outlineLevel="0" collapsed="false"/>
    <row r="5" customFormat="false" ht="27.75" hidden="false" customHeight="true" outlineLevel="0" collapsed="false">
      <c r="C5" s="18" t="s">
        <v>61</v>
      </c>
      <c r="D5" s="18" t="s">
        <v>88</v>
      </c>
      <c r="E5" s="18" t="s">
        <v>89</v>
      </c>
      <c r="F5" s="18" t="s">
        <v>90</v>
      </c>
    </row>
    <row r="6" customFormat="false" ht="18" hidden="false" customHeight="true" outlineLevel="0" collapsed="false">
      <c r="C6" s="19" t="str">
        <f aca="false">'Dati Tornado'!B6</f>
        <v>Tempo di Recupero RTO</v>
      </c>
      <c r="D6" s="21" t="n">
        <f aca="false">'Dati Tornado'!C6+'Dati Tornado'!D6</f>
        <v>32000</v>
      </c>
      <c r="E6" s="21" t="n">
        <f aca="false">'Dati Tornado'!E6</f>
        <v>480000</v>
      </c>
      <c r="F6" s="21" t="n">
        <f aca="false">ABS('Dati Tornado'!D6)</f>
        <v>64000</v>
      </c>
    </row>
    <row r="7" customFormat="false" ht="18" hidden="false" customHeight="true" outlineLevel="0" collapsed="false">
      <c r="C7" s="24" t="str">
        <f aca="false">'Dati Tornado'!B7</f>
        <v>Downtime Sistemi IT</v>
      </c>
      <c r="D7" s="26" t="n">
        <f aca="false">'Dati Tornado'!C7+'Dati Tornado'!D7</f>
        <v>10000</v>
      </c>
      <c r="E7" s="26" t="n">
        <f aca="false">'Dati Tornado'!E7</f>
        <v>200000</v>
      </c>
      <c r="F7" s="26" t="n">
        <f aca="false">ABS('Dati Tornado'!D7)</f>
        <v>30000</v>
      </c>
    </row>
    <row r="8" customFormat="false" ht="18" hidden="false" customHeight="true" outlineLevel="0" collapsed="false">
      <c r="C8" s="19" t="str">
        <f aca="false">'Dati Tornado'!B8</f>
        <v>Danno Reputazionale</v>
      </c>
      <c r="D8" s="21" t="n">
        <f aca="false">'Dati Tornado'!C8+'Dati Tornado'!D8</f>
        <v>10000</v>
      </c>
      <c r="E8" s="21" t="n">
        <f aca="false">'Dati Tornado'!E8</f>
        <v>150000</v>
      </c>
      <c r="F8" s="21" t="n">
        <f aca="false">ABS('Dati Tornado'!D8)</f>
        <v>40000</v>
      </c>
    </row>
    <row r="9" customFormat="false" ht="18" hidden="false" customHeight="true" outlineLevel="0" collapsed="false">
      <c r="C9" s="24" t="str">
        <f aca="false">'Dati Tornado'!B9</f>
        <v>Indisponibilità Fornitori</v>
      </c>
      <c r="D9" s="26" t="n">
        <f aca="false">'Dati Tornado'!C9+'Dati Tornado'!D9</f>
        <v>12000</v>
      </c>
      <c r="E9" s="26" t="n">
        <f aca="false">'Dati Tornado'!E9</f>
        <v>144000</v>
      </c>
      <c r="F9" s="26" t="n">
        <f aca="false">ABS('Dati Tornado'!D9)</f>
        <v>24000</v>
      </c>
    </row>
    <row r="10" customFormat="false" ht="18" hidden="false" customHeight="true" outlineLevel="0" collapsed="false">
      <c r="C10" s="19" t="str">
        <f aca="false">'Dati Tornado'!B10</f>
        <v>Tempo di Recupero RPO</v>
      </c>
      <c r="D10" s="21" t="n">
        <f aca="false">'Dati Tornado'!C10+'Dati Tornado'!D10</f>
        <v>4500</v>
      </c>
      <c r="E10" s="21" t="n">
        <f aca="false">'Dati Tornado'!E10</f>
        <v>81000</v>
      </c>
      <c r="F10" s="21" t="n">
        <f aca="false">ABS('Dati Tornado'!D10)</f>
        <v>22500</v>
      </c>
    </row>
    <row r="11" customFormat="false" ht="18" hidden="false" customHeight="true" outlineLevel="0" collapsed="false">
      <c r="C11" s="24" t="str">
        <f aca="false">'Dati Tornado'!B11</f>
        <v>Costi di Recupero IT</v>
      </c>
      <c r="D11" s="26" t="n">
        <f aca="false">'Dati Tornado'!C11+'Dati Tornado'!D11</f>
        <v>5000</v>
      </c>
      <c r="E11" s="26" t="n">
        <f aca="false">'Dati Tornado'!E11</f>
        <v>65000</v>
      </c>
      <c r="F11" s="26" t="n">
        <f aca="false">ABS('Dati Tornado'!D11)</f>
        <v>10000</v>
      </c>
    </row>
    <row r="12" customFormat="false" ht="18" hidden="false" customHeight="true" outlineLevel="0" collapsed="false">
      <c r="C12" s="19" t="str">
        <f aca="false">'Dati Tornado'!B12</f>
        <v>Downtime Reti/Connettività</v>
      </c>
      <c r="D12" s="21" t="n">
        <f aca="false">'Dati Tornado'!C12+'Dati Tornado'!D12</f>
        <v>3000</v>
      </c>
      <c r="E12" s="21" t="n">
        <f aca="false">'Dati Tornado'!E12</f>
        <v>60000</v>
      </c>
      <c r="F12" s="21" t="n">
        <f aca="false">ABS('Dati Tornado'!D12)</f>
        <v>9000</v>
      </c>
    </row>
    <row r="13" customFormat="false" ht="18" hidden="false" customHeight="true" outlineLevel="0" collapsed="false">
      <c r="C13" s="24" t="str">
        <f aca="false">'Dati Tornado'!B13</f>
        <v>Perdita Produttività</v>
      </c>
      <c r="D13" s="26" t="n">
        <f aca="false">'Dati Tornado'!C13+'Dati Tornado'!D13</f>
        <v>5000</v>
      </c>
      <c r="E13" s="26" t="n">
        <f aca="false">'Dati Tornado'!E13</f>
        <v>40000</v>
      </c>
      <c r="F13" s="26" t="n">
        <f aca="false">ABS('Dati Tornado'!D13)</f>
        <v>15000</v>
      </c>
    </row>
    <row r="14" customFormat="false" ht="18" hidden="false" customHeight="true" outlineLevel="0" collapsed="false">
      <c r="C14" s="19" t="str">
        <f aca="false">'Dati Tornado'!B14</f>
        <v>Sanzioni Regolamentari</v>
      </c>
      <c r="D14" s="21" t="n">
        <f aca="false">'Dati Tornado'!C14+'Dati Tornado'!D14</f>
        <v>0</v>
      </c>
      <c r="E14" s="21" t="n">
        <f aca="false">'Dati Tornado'!E14</f>
        <v>45000</v>
      </c>
      <c r="F14" s="21" t="n">
        <f aca="false">ABS('Dati Tornado'!D14)</f>
        <v>5000</v>
      </c>
    </row>
    <row r="15" customFormat="false" ht="18" hidden="false" customHeight="true" outlineLevel="0" collapsed="false">
      <c r="C15" s="24" t="str">
        <f aca="false">'Dati Tornado'!B15</f>
        <v>Costi di Risposta Incidente</v>
      </c>
      <c r="D15" s="26" t="n">
        <f aca="false">'Dati Tornado'!C15+'Dati Tornado'!D15</f>
        <v>2000</v>
      </c>
      <c r="E15" s="26" t="n">
        <f aca="false">'Dati Tornado'!E15</f>
        <v>22000</v>
      </c>
      <c r="F15" s="26" t="n">
        <f aca="false">ABS('Dati Tornado'!D15)</f>
        <v>6000</v>
      </c>
    </row>
    <row r="16" customFormat="false" ht="18" hidden="false" customHeight="true" outlineLevel="0" collapsed="false">
      <c r="C16" s="19" t="str">
        <f aca="false">'Dati Tornado'!B16</f>
        <v>Costi di Comunicazione Crisi</v>
      </c>
      <c r="D16" s="21" t="n">
        <f aca="false">'Dati Tornado'!C16+'Dati Tornado'!D16</f>
        <v>1000</v>
      </c>
      <c r="E16" s="21" t="n">
        <f aca="false">'Dati Tornado'!E16</f>
        <v>15000</v>
      </c>
      <c r="F16" s="21" t="n">
        <f aca="false">ABS('Dati Tornado'!D16)</f>
        <v>4000</v>
      </c>
    </row>
    <row r="17" customFormat="false" ht="18" hidden="false" customHeight="true" outlineLevel="0" collapsed="false">
      <c r="C17" s="24" t="str">
        <f aca="false">'Dati Tornado'!B17</f>
        <v>Perdita di Ricavi</v>
      </c>
      <c r="D17" s="26" t="n">
        <f aca="false">'Dati Tornado'!C17+'Dati Tornado'!D17</f>
        <v>500</v>
      </c>
      <c r="E17" s="26" t="n">
        <f aca="false">'Dati Tornado'!E17</f>
        <v>6000</v>
      </c>
      <c r="F17" s="26" t="n">
        <f aca="false">ABS('Dati Tornado'!D17)</f>
        <v>1500</v>
      </c>
    </row>
    <row r="19" customFormat="false" ht="15" hidden="false" customHeight="false" outlineLevel="0" collapsed="false">
      <c r="C19" s="39" t="s">
        <v>91</v>
      </c>
      <c r="D19" s="39"/>
      <c r="E19" s="39"/>
      <c r="F19" s="39"/>
    </row>
  </sheetData>
  <mergeCells count="3">
    <mergeCell ref="B2:P2"/>
    <mergeCell ref="B3:P3"/>
    <mergeCell ref="C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7974"/>
    <pageSetUpPr fitToPage="false"/>
  </sheetPr>
  <dimension ref="B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60"/>
  </cols>
  <sheetData>
    <row r="1" customFormat="false" ht="7.5" hidden="false" customHeight="true" outlineLevel="0" collapsed="false"/>
    <row r="2" customFormat="false" ht="30" hidden="false" customHeight="true" outlineLevel="0" collapsed="false">
      <c r="B2" s="40" t="s">
        <v>92</v>
      </c>
      <c r="C2" s="40"/>
    </row>
    <row r="3" customFormat="false" ht="7.5" hidden="false" customHeight="true" outlineLevel="0" collapsed="false"/>
    <row r="4" customFormat="false" ht="21.75" hidden="false" customHeight="true" outlineLevel="0" collapsed="false">
      <c r="B4" s="3" t="s">
        <v>93</v>
      </c>
      <c r="C4" s="3"/>
    </row>
    <row r="5" customFormat="false" ht="15" hidden="false" customHeight="true" outlineLevel="0" collapsed="false">
      <c r="B5" s="41" t="s">
        <v>94</v>
      </c>
      <c r="C5" s="42" t="s">
        <v>95</v>
      </c>
    </row>
    <row r="6" customFormat="false" ht="15" hidden="false" customHeight="true" outlineLevel="0" collapsed="false">
      <c r="B6" s="41" t="s">
        <v>96</v>
      </c>
      <c r="C6" s="42" t="s">
        <v>97</v>
      </c>
    </row>
    <row r="7" customFormat="false" ht="15" hidden="false" customHeight="true" outlineLevel="0" collapsed="false">
      <c r="B7" s="41" t="s">
        <v>98</v>
      </c>
      <c r="C7" s="42" t="s">
        <v>99</v>
      </c>
    </row>
    <row r="8" customFormat="false" ht="15" hidden="false" customHeight="true" outlineLevel="0" collapsed="false">
      <c r="B8" s="41" t="s">
        <v>100</v>
      </c>
      <c r="C8" s="42" t="s">
        <v>101</v>
      </c>
    </row>
    <row r="9" customFormat="false" ht="15" hidden="false" customHeight="true" outlineLevel="0" collapsed="false">
      <c r="B9" s="41" t="s">
        <v>102</v>
      </c>
      <c r="C9" s="42" t="s">
        <v>103</v>
      </c>
    </row>
    <row r="10" customFormat="false" ht="7.5" hidden="false" customHeight="true" outlineLevel="0" collapsed="false"/>
    <row r="11" customFormat="false" ht="21.75" hidden="false" customHeight="true" outlineLevel="0" collapsed="false">
      <c r="B11" s="3" t="s">
        <v>104</v>
      </c>
      <c r="C11" s="3"/>
    </row>
    <row r="12" customFormat="false" ht="18" hidden="false" customHeight="true" outlineLevel="0" collapsed="false">
      <c r="B12" s="41" t="s">
        <v>105</v>
      </c>
      <c r="C12" s="42" t="s">
        <v>106</v>
      </c>
    </row>
    <row r="13" customFormat="false" ht="30" hidden="false" customHeight="true" outlineLevel="0" collapsed="false">
      <c r="B13" s="41" t="s">
        <v>107</v>
      </c>
      <c r="C13" s="42" t="s">
        <v>108</v>
      </c>
    </row>
    <row r="14" customFormat="false" ht="18" hidden="false" customHeight="true" outlineLevel="0" collapsed="false">
      <c r="B14" s="41" t="s">
        <v>109</v>
      </c>
      <c r="C14" s="42" t="s">
        <v>110</v>
      </c>
    </row>
    <row r="15" customFormat="false" ht="18" hidden="false" customHeight="true" outlineLevel="0" collapsed="false">
      <c r="B15" s="41" t="s">
        <v>111</v>
      </c>
      <c r="C15" s="42" t="s">
        <v>112</v>
      </c>
    </row>
    <row r="16" customFormat="false" ht="18" hidden="false" customHeight="true" outlineLevel="0" collapsed="false">
      <c r="B16" s="41" t="s">
        <v>113</v>
      </c>
      <c r="C16" s="42" t="s">
        <v>114</v>
      </c>
    </row>
    <row r="17" customFormat="false" ht="18" hidden="false" customHeight="true" outlineLevel="0" collapsed="false">
      <c r="B17" s="41" t="s">
        <v>115</v>
      </c>
      <c r="C17" s="42" t="s">
        <v>116</v>
      </c>
    </row>
    <row r="18" customFormat="false" ht="30" hidden="false" customHeight="true" outlineLevel="0" collapsed="false">
      <c r="B18" s="41" t="s">
        <v>117</v>
      </c>
      <c r="C18" s="42" t="s">
        <v>118</v>
      </c>
    </row>
    <row r="19" customFormat="false" ht="7.5" hidden="false" customHeight="true" outlineLevel="0" collapsed="false"/>
    <row r="20" customFormat="false" ht="21.75" hidden="false" customHeight="true" outlineLevel="0" collapsed="false">
      <c r="B20" s="3" t="s">
        <v>119</v>
      </c>
      <c r="C20" s="3"/>
    </row>
    <row r="21" customFormat="false" ht="24" hidden="false" customHeight="true" outlineLevel="0" collapsed="false">
      <c r="B21" s="41" t="s">
        <v>120</v>
      </c>
      <c r="C21" s="42" t="s">
        <v>121</v>
      </c>
    </row>
    <row r="22" customFormat="false" ht="24" hidden="false" customHeight="true" outlineLevel="0" collapsed="false">
      <c r="B22" s="41" t="s">
        <v>122</v>
      </c>
      <c r="C22" s="42" t="s">
        <v>123</v>
      </c>
    </row>
    <row r="23" customFormat="false" ht="24" hidden="false" customHeight="true" outlineLevel="0" collapsed="false">
      <c r="B23" s="41" t="s">
        <v>124</v>
      </c>
      <c r="C23" s="42" t="s">
        <v>125</v>
      </c>
    </row>
    <row r="24" customFormat="false" ht="7.5" hidden="false" customHeight="true" outlineLevel="0" collapsed="false"/>
    <row r="25" customFormat="false" ht="21.75" hidden="false" customHeight="true" outlineLevel="0" collapsed="false">
      <c r="B25" s="3" t="s">
        <v>126</v>
      </c>
      <c r="C25" s="3"/>
    </row>
    <row r="26" customFormat="false" ht="30" hidden="false" customHeight="true" outlineLevel="0" collapsed="false">
      <c r="B26" s="41" t="s">
        <v>127</v>
      </c>
      <c r="C26" s="42" t="s">
        <v>128</v>
      </c>
    </row>
    <row r="27" customFormat="false" ht="30" hidden="false" customHeight="true" outlineLevel="0" collapsed="false">
      <c r="B27" s="41" t="s">
        <v>129</v>
      </c>
      <c r="C27" s="42" t="s">
        <v>130</v>
      </c>
    </row>
    <row r="28" customFormat="false" ht="30" hidden="false" customHeight="true" outlineLevel="0" collapsed="false">
      <c r="B28" s="41" t="s">
        <v>131</v>
      </c>
      <c r="C28" s="42" t="s">
        <v>132</v>
      </c>
    </row>
    <row r="29" customFormat="false" ht="30" hidden="false" customHeight="true" outlineLevel="0" collapsed="false">
      <c r="B29" s="41" t="s">
        <v>133</v>
      </c>
      <c r="C29" s="42" t="s">
        <v>134</v>
      </c>
    </row>
    <row r="30" customFormat="false" ht="30" hidden="false" customHeight="true" outlineLevel="0" collapsed="false">
      <c r="B30" s="41" t="s">
        <v>135</v>
      </c>
      <c r="C30" s="42" t="s">
        <v>136</v>
      </c>
    </row>
    <row r="31" customFormat="false" ht="7.5" hidden="false" customHeight="true" outlineLevel="0" collapsed="false"/>
    <row r="32" customFormat="false" ht="24" hidden="false" customHeight="true" outlineLevel="0" collapsed="false">
      <c r="B32" s="43" t="s">
        <v>137</v>
      </c>
      <c r="C32" s="43"/>
    </row>
  </sheetData>
  <mergeCells count="6">
    <mergeCell ref="B2:C2"/>
    <mergeCell ref="B4:C4"/>
    <mergeCell ref="B11:C11"/>
    <mergeCell ref="B20:C20"/>
    <mergeCell ref="B25:C25"/>
    <mergeCell ref="B32:C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84B2F"/>
    <pageSetUpPr fitToPage="false"/>
  </sheetPr>
  <dimension ref="B2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9" min="3" style="0" width="20"/>
  </cols>
  <sheetData>
    <row r="2" customFormat="false" ht="27.75" hidden="false" customHeight="true" outlineLevel="0" collapsed="false">
      <c r="B2" s="1" t="s">
        <v>138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17" t="s">
        <v>139</v>
      </c>
      <c r="C3" s="17"/>
      <c r="D3" s="17"/>
      <c r="E3" s="17"/>
      <c r="F3" s="17"/>
      <c r="G3" s="17"/>
      <c r="H3" s="17"/>
    </row>
    <row r="4" customFormat="false" ht="7.5" hidden="false" customHeight="true" outlineLevel="0" collapsed="false"/>
    <row r="5" customFormat="false" ht="31.5" hidden="false" customHeight="true" outlineLevel="0" collapsed="false">
      <c r="B5" s="7" t="s">
        <v>3</v>
      </c>
      <c r="C5" s="7" t="s">
        <v>140</v>
      </c>
      <c r="D5" s="7" t="s">
        <v>141</v>
      </c>
      <c r="E5" s="7" t="s">
        <v>142</v>
      </c>
      <c r="F5" s="7" t="s">
        <v>143</v>
      </c>
      <c r="G5" s="7" t="s">
        <v>144</v>
      </c>
      <c r="H5" s="7" t="s">
        <v>145</v>
      </c>
      <c r="I5" s="7" t="s">
        <v>146</v>
      </c>
    </row>
    <row r="6" customFormat="false" ht="18" hidden="false" customHeight="true" outlineLevel="0" collapsed="false">
      <c r="B6" s="8" t="s">
        <v>4</v>
      </c>
      <c r="C6" s="44" t="n">
        <f aca="true">TODAY()</f>
        <v>46200</v>
      </c>
      <c r="D6" s="11" t="n">
        <f aca="false">'Calcoli BIA'!F19</f>
        <v>316000</v>
      </c>
      <c r="E6" s="11" t="n">
        <f aca="false">'Calcoli BIA'!G19</f>
        <v>1624000</v>
      </c>
      <c r="F6" s="11" t="n">
        <f aca="false">'Calcoli BIA'!E19</f>
        <v>85000</v>
      </c>
      <c r="G6" s="11" t="n">
        <f aca="false">'Calcoli BIA'!G19-'Calcoli BIA'!E19</f>
        <v>1539000</v>
      </c>
      <c r="H6" s="45" t="n">
        <f aca="false">'Calcoli BIA'!C23</f>
        <v>316000</v>
      </c>
      <c r="I6" s="8" t="s">
        <v>147</v>
      </c>
    </row>
    <row r="7" customFormat="false" ht="18" hidden="false" customHeight="true" outlineLevel="0" collapsed="false">
      <c r="B7" s="12" t="s">
        <v>148</v>
      </c>
      <c r="C7" s="46"/>
      <c r="D7" s="47"/>
      <c r="E7" s="47"/>
      <c r="F7" s="47"/>
      <c r="G7" s="47"/>
      <c r="H7" s="48"/>
      <c r="I7" s="12" t="s">
        <v>149</v>
      </c>
    </row>
    <row r="8" customFormat="false" ht="18" hidden="false" customHeight="true" outlineLevel="0" collapsed="false">
      <c r="B8" s="8" t="s">
        <v>150</v>
      </c>
      <c r="C8" s="49"/>
      <c r="D8" s="50"/>
      <c r="E8" s="50"/>
      <c r="F8" s="50"/>
      <c r="G8" s="50"/>
      <c r="H8" s="51"/>
      <c r="I8" s="8" t="s">
        <v>151</v>
      </c>
    </row>
    <row r="9" customFormat="false" ht="18" hidden="false" customHeight="true" outlineLevel="0" collapsed="false">
      <c r="B9" s="12" t="s">
        <v>152</v>
      </c>
      <c r="C9" s="46"/>
      <c r="D9" s="47"/>
      <c r="E9" s="47"/>
      <c r="F9" s="47"/>
      <c r="G9" s="47"/>
      <c r="H9" s="48"/>
      <c r="I9" s="12" t="s">
        <v>153</v>
      </c>
    </row>
    <row r="10" customFormat="false" ht="18" hidden="false" customHeight="true" outlineLevel="0" collapsed="false">
      <c r="B10" s="8" t="s">
        <v>154</v>
      </c>
      <c r="C10" s="49"/>
      <c r="D10" s="50"/>
      <c r="E10" s="50"/>
      <c r="F10" s="50"/>
      <c r="G10" s="50"/>
      <c r="H10" s="51"/>
      <c r="I10" s="8" t="s">
        <v>155</v>
      </c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2026-06-27T05:49:45Z</dcterms:created>
  <dc:creator>openpyxl</dc:creator>
  <dc:description/>
  <dc:language>en-US</dc:language>
  <cp:lastModifiedBy/>
  <dcterms:modified xsi:type="dcterms:W3CDTF">2026-06-27T05:53:01Z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