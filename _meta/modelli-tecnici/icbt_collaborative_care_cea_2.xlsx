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Decisionale" sheetId="1" state="visible" r:id="rId3"/>
    <sheet name="Parametri" sheetId="2" state="visible" r:id="rId4"/>
    <sheet name="Analisi ICER" sheetId="3" state="visible" r:id="rId5"/>
    <sheet name="ROI 12-24-36 mesi" sheetId="4" state="visible" r:id="rId6"/>
    <sheet name="Analisi Sensibilità" sheetId="5" state="visible" r:id="rId7"/>
  </sheets>
  <definedNames>
    <definedName function="false" hidden="false" localSheetId="2" name="_xlnm.Print_Titles" vbProcedure="false">'Analisi ICER'!$1:$4</definedName>
    <definedName function="false" hidden="false" localSheetId="4" name="_xlnm.Print_Titles" vbProcedure="false">'Analisi Sensibilità'!$1:$4</definedName>
    <definedName function="false" hidden="false" localSheetId="0" name="_xlnm.Print_Titles" vbProcedure="false">'Dashboard Decisionale'!$1:$4</definedName>
    <definedName function="false" hidden="false" localSheetId="1" name="_xlnm.Print_Titles" vbProcedure="false">Parametri!$1:$4</definedName>
    <definedName function="false" hidden="false" localSheetId="3" name="_xlnm.Print_Titles" vbProcedure="false">'ROI 12-24-36 mesi'!$1:$4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<sst xmlns="http://schemas.openxmlformats.org/spreadsheetml/2006/main" count="283" uniqueCount="235">
  <si>
    <t xml:space="preserve">DASHBOARD DECISIONALE  |  Allocazione Risorse in base al Budget</t>
  </si>
  <si>
    <t xml:space="preserve">Inserire il budget disponibile in Parametri!C49 | Dashboard si aggiorna automaticamente | Verde = opzione preferibile | Rosso = non raccomandato nel contesto</t>
  </si>
  <si>
    <t xml:space="preserve">iCBT – Indicatori chiave</t>
  </si>
  <si>
    <t xml:space="preserve">Collaborative Care – Indicatori chiave</t>
  </si>
  <si>
    <t xml:space="preserve">Budget Disponibile (€)</t>
  </si>
  <si>
    <t xml:space="preserve">N Pazienti Trattabili</t>
  </si>
  <si>
    <t xml:space="preserve">Costo per paziente / anno</t>
  </si>
  <si>
    <t xml:space="preserve">ROI – 12 mesi</t>
  </si>
  <si>
    <t xml:space="preserve">ROI – 36 mesi</t>
  </si>
  <si>
    <t xml:space="preserve">ICER Anno 1 (€/QALY)</t>
  </si>
  <si>
    <t xml:space="preserve">N/A (base)</t>
  </si>
  <si>
    <t xml:space="preserve">RACCOMANDAZIONE AUTOMATICA DI ALLOCAZIONE RISORSE</t>
  </si>
  <si>
    <t xml:space="preserve">Budget disponibile (€)</t>
  </si>
  <si>
    <t xml:space="preserve">Modificare in Parametri!C49</t>
  </si>
  <si>
    <t xml:space="preserve">N max pazienti con iCBT</t>
  </si>
  <si>
    <t xml:space="preserve">Budget / (Costo ricorrente + Onboarding)</t>
  </si>
  <si>
    <t xml:space="preserve">N max pazienti con CollabCare</t>
  </si>
  <si>
    <t xml:space="preserve">Risparmio per paziente (iCBT vs CC)</t>
  </si>
  <si>
    <t xml:space="preserve">Costo/paz CC − Costo/paz iCBT</t>
  </si>
  <si>
    <t xml:space="preserve">Pazienti aggiuntivi con iCBT vs CC</t>
  </si>
  <si>
    <t xml:space="preserve">Pazienti extra raggiungibili con iCBT</t>
  </si>
  <si>
    <t xml:space="preserve">QALY totali iCBT (Anno 1)</t>
  </si>
  <si>
    <t xml:space="preserve">QALY coorte standard (200 paz)</t>
  </si>
  <si>
    <t xml:space="preserve">QALY totali CollabCare (Anno 1)</t>
  </si>
  <si>
    <t xml:space="preserve">QALY coorte standard</t>
  </si>
  <si>
    <t xml:space="preserve">QALY per € investito – iCBT</t>
  </si>
  <si>
    <t xml:space="preserve">Efficienza: QALY / € speso</t>
  </si>
  <si>
    <t xml:space="preserve">QALY per € investito – CollabCare</t>
  </si>
  <si>
    <t xml:space="preserve">VERDETTO AUTOMATICO  –  Strategia Consigliata per Budget Disponibile</t>
  </si>
  <si>
    <t xml:space="preserve">Strategia consigliata (Budget)</t>
  </si>
  <si>
    <t xml:space="preserve">Giudizio ICER vs soglia WTP (Anno 1)</t>
  </si>
  <si>
    <t xml:space="preserve">Popolazione target raccomandata per iCBT</t>
  </si>
  <si>
    <t xml:space="preserve">Popolazione target raccomandata per CollabCare</t>
  </si>
  <si>
    <t xml:space="preserve">CONFRONTO SINTETICO  –  Dimensioni di Analisi</t>
  </si>
  <si>
    <t xml:space="preserve">Dimensione</t>
  </si>
  <si>
    <t xml:space="preserve">iCBT</t>
  </si>
  <si>
    <t xml:space="preserve">Collaborative Care</t>
  </si>
  <si>
    <t xml:space="preserve">Vantaggio</t>
  </si>
  <si>
    <t xml:space="preserve">Costo per paziente / anno (€)</t>
  </si>
  <si>
    <t xml:space="preserve">Tasso risposta PHQ-9 ≥50%</t>
  </si>
  <si>
    <t xml:space="preserve">QALY guadagnati/paziente (Anno 1)</t>
  </si>
  <si>
    <t xml:space="preserve">Pazienti trattabili per €100k budget</t>
  </si>
  <si>
    <t xml:space="preserve">ROI 36 mesi</t>
  </si>
  <si>
    <t xml:space="preserve">ICER vs soglia €30.000/QALY</t>
  </si>
  <si>
    <t xml:space="preserve">"Base (confronto)"</t>
  </si>
  <si>
    <t xml:space="preserve">"→ Vedere foglio ICER"</t>
  </si>
  <si>
    <t xml:space="preserve">Scalabilità digitale</t>
  </si>
  <si>
    <t xml:space="preserve">"Alta (SaaS, async)"</t>
  </si>
  <si>
    <t xml:space="preserve">"Bassa (staff-dipendente)"</t>
  </si>
  <si>
    <t xml:space="preserve">"✓ iCBT"</t>
  </si>
  <si>
    <t xml:space="preserve">Adatto a casi complessi</t>
  </si>
  <si>
    <t xml:space="preserve">"No (lieve-mod)"</t>
  </si>
  <si>
    <t xml:space="preserve">"Sì (mod-grave)"</t>
  </si>
  <si>
    <t xml:space="preserve">"✓ CollabCare"</t>
  </si>
  <si>
    <t xml:space="preserve">Drop-out / Abbandono</t>
  </si>
  <si>
    <t xml:space="preserve">Fonti: Johansson et al. 2019 (J Affect Disord); Chisholm et al. 2016 (Lancet Psychiatry); Nordgreen et al. 2021 (JMIR); Bower et al. 2006 (BMJ); EuroQol EQ-5D; NICE TA NHS 2023. Modello creato per analisi HTA – tutti i parametri sono modificabili nel foglio Parametri.</t>
  </si>
  <si>
    <t xml:space="preserve">ANALISI COSTO-UTILITÀ  |  iCBT vs Collaborative Care</t>
  </si>
  <si>
    <t xml:space="preserve">Foglio Parametri – Valori modificabili (blu) | Formule (nero) | Link inter-foglio (verde)</t>
  </si>
  <si>
    <t xml:space="preserve">● Blu = Input modificabile</t>
  </si>
  <si>
    <t xml:space="preserve">● Nero = Formula calcolata</t>
  </si>
  <si>
    <t xml:space="preserve">● Verde = Link inter-foglio</t>
  </si>
  <si>
    <t xml:space="preserve">● Giallo = Assunzione chiave</t>
  </si>
  <si>
    <t xml:space="preserve">A  |  POPOLAZIONE &amp; CONTESTO CLINICO</t>
  </si>
  <si>
    <t xml:space="preserve">Parametro</t>
  </si>
  <si>
    <t xml:space="preserve">Unità / Note</t>
  </si>
  <si>
    <t xml:space="preserve">Pazienti per coorte (N)</t>
  </si>
  <si>
    <t xml:space="preserve">n – modificabile</t>
  </si>
  <si>
    <t xml:space="preserve">% Depressione lieve-moderata (PHQ-9 5–14)</t>
  </si>
  <si>
    <t xml:space="preserve">proporzione</t>
  </si>
  <si>
    <t xml:space="preserve">% Depressione moderata-grave (PHQ-9 ≥15)</t>
  </si>
  <si>
    <t xml:space="preserve">Età media pazienti (anni)</t>
  </si>
  <si>
    <t xml:space="preserve">anni</t>
  </si>
  <si>
    <t xml:space="preserve">% Pazienti occupati</t>
  </si>
  <si>
    <t xml:space="preserve">Orizzonte temporale primario</t>
  </si>
  <si>
    <t xml:space="preserve">anni (1 = 12 mesi)</t>
  </si>
  <si>
    <t xml:space="preserve">B  |  COSTI DIRETTI  (€ per paziente / anno)  –  Fonte: letteratura HTA europea</t>
  </si>
  <si>
    <t xml:space="preserve">Costo piattaforma / licenza software</t>
  </si>
  <si>
    <t xml:space="preserve">€/paz – iCBT: SaaS annuo</t>
  </si>
  <si>
    <t xml:space="preserve">Costo terapeuta / clinico (ore × tariffa)</t>
  </si>
  <si>
    <t xml:space="preserve">€/paz – iCBT: email/supporto async</t>
  </si>
  <si>
    <t xml:space="preserve">Costo supervisore / care manager</t>
  </si>
  <si>
    <t xml:space="preserve">€/paz – CC: care manager dedicato</t>
  </si>
  <si>
    <t xml:space="preserve">Costo medico di base (MMG) / contatti</t>
  </si>
  <si>
    <t xml:space="preserve">€/paz – visite e-mail vs. in presenza</t>
  </si>
  <si>
    <t xml:space="preserve">Costo psichiatra / specialista</t>
  </si>
  <si>
    <t xml:space="preserve">€/paz – CC: consulenze periodiche</t>
  </si>
  <si>
    <t xml:space="preserve">Costo farmaci antidepressivi</t>
  </si>
  <si>
    <t xml:space="preserve">€/paz – SSRI generico vs brand</t>
  </si>
  <si>
    <t xml:space="preserve">Costo ricoveri / pronto soccorso</t>
  </si>
  <si>
    <t xml:space="preserve">€/paz – tasso stimato da letteratura</t>
  </si>
  <si>
    <t xml:space="preserve">Costo amministrativo / overhead (15% su precedenti)</t>
  </si>
  <si>
    <t xml:space="preserve">formula automatica – 15% subtotale</t>
  </si>
  <si>
    <t xml:space="preserve">Costo induzione / onboarding paziente (anno 1 only)</t>
  </si>
  <si>
    <t xml:space="preserve">⚠ Una-tantum – incluso solo in Anno 1</t>
  </si>
  <si>
    <t xml:space="preserve">TOTALE COSTI DIRETTI / paziente (senza onboarding)</t>
  </si>
  <si>
    <t xml:space="preserve">Costo ricorrente annuo per paziente</t>
  </si>
  <si>
    <t xml:space="preserve">C  |  EFFICACIA CLINICA  –  PHQ-9 &amp; QALY  (Fonte: Johansson 2019; Chisholm 2016; Nordgreen 2021)</t>
  </si>
  <si>
    <t xml:space="preserve">Tasso risposta (riduzione PHQ-9 ≥50%)</t>
  </si>
  <si>
    <t xml:space="preserve">proporzione – da RCT</t>
  </si>
  <si>
    <t xml:space="preserve">Tasso remissione (PHQ-9 &lt;5)</t>
  </si>
  <si>
    <t xml:space="preserve">Variazione media PHQ-9 (pre→post)</t>
  </si>
  <si>
    <t xml:space="preserve">punti PHQ-9 (negativo = miglioramento)</t>
  </si>
  <si>
    <t xml:space="preserve">Drop-out / abbandono trattamento</t>
  </si>
  <si>
    <t xml:space="preserve">QALY guadagnati – responder (anno 1)</t>
  </si>
  <si>
    <t xml:space="preserve">QALY – da utility mapping EQ-5D</t>
  </si>
  <si>
    <t xml:space="preserve">QALY guadagnati – non-responder (anno 1)</t>
  </si>
  <si>
    <t xml:space="preserve">QALY – beneficio residuo</t>
  </si>
  <si>
    <t xml:space="preserve">Utility baseline (PHQ-9 lieve-mod)</t>
  </si>
  <si>
    <t xml:space="preserve">utility EQ-5D pre-trattamento</t>
  </si>
  <si>
    <t xml:space="preserve">Utility post-trattamento responder</t>
  </si>
  <si>
    <t xml:space="preserve">utility EQ-5D post-trattamento</t>
  </si>
  <si>
    <t xml:space="preserve">Mantenimento effetto – Anno 2 (decay)</t>
  </si>
  <si>
    <t xml:space="preserve">proporzione QALY mantenuto vs anno 1</t>
  </si>
  <si>
    <t xml:space="preserve">Mantenimento effetto – Anno 3 (decay)</t>
  </si>
  <si>
    <t xml:space="preserve">D  |  PARAMETRI ECONOMICI</t>
  </si>
  <si>
    <t xml:space="preserve">Soglia WTP per QALY (€)</t>
  </si>
  <si>
    <t xml:space="preserve">€ – threshold NHS/SSN europeo</t>
  </si>
  <si>
    <t xml:space="preserve">Tasso di sconto annuo</t>
  </si>
  <si>
    <t xml:space="preserve">3.5% – standard HTA Europa</t>
  </si>
  <si>
    <t xml:space="preserve">Tasso di inflazione sanitaria</t>
  </si>
  <si>
    <t xml:space="preserve">2.5% – costi crescenti nel tempo</t>
  </si>
  <si>
    <t xml:space="preserve">Costo giornata lavorativa persa (€)</t>
  </si>
  <si>
    <t xml:space="preserve">€ – costi indiretti per assenteismo</t>
  </si>
  <si>
    <t xml:space="preserve">Giorni lavoro persi/anno (depressso)</t>
  </si>
  <si>
    <t xml:space="preserve">giorni/anno – letteratura OCSE</t>
  </si>
  <si>
    <t xml:space="preserve">Riduzione assenteismo (responder)</t>
  </si>
  <si>
    <t xml:space="preserve">proporzione riduzione giorni persi</t>
  </si>
  <si>
    <t xml:space="preserve">Budget disponibile totale (€)</t>
  </si>
  <si>
    <t xml:space="preserve">€ – input pianificazione</t>
  </si>
  <si>
    <t xml:space="preserve">Fonti: Johansson et al. (2019) J Affect Disord; Chisholm et al. (2016) Lancet Psychiatry; Nordgreen et al. (2021) JMIR; Andrews et al. (2010) PLoS One; Bower et al. (2006) BMJ; NICE TA (2009–2023); EuroQol EQ-5D utility mapping depression.</t>
  </si>
  <si>
    <t xml:space="preserve">ANALISI COSTO-EFFICACIA INCREMENTALE (ICER)  |  iCBT vs Collaborative Care</t>
  </si>
  <si>
    <t xml:space="preserve">ICER = (Costo_CC – Costo_iCBT) / (QALY_CC – QALY_iCBT)  |  Soglia WTP: da Parametri!C43</t>
  </si>
  <si>
    <t xml:space="preserve">Componente di Analisi</t>
  </si>
  <si>
    <t xml:space="preserve">Differenza
(CC – iCBT)</t>
  </si>
  <si>
    <t xml:space="preserve">Note / Interpretazione</t>
  </si>
  <si>
    <t xml:space="preserve">A  |  COSTI TOTALI PER COORTE  (Anno 1, N pazienti da Parametri!C8)</t>
  </si>
  <si>
    <t xml:space="preserve">Pazienti in coorte (N)</t>
  </si>
  <si>
    <t xml:space="preserve">Da Parametri foglio</t>
  </si>
  <si>
    <t xml:space="preserve">Costo ricorrente/paziente (€)</t>
  </si>
  <si>
    <t xml:space="preserve">Comprende tutti i costi diretti</t>
  </si>
  <si>
    <t xml:space="preserve">Costo onboarding/paziente (anno 1, €)</t>
  </si>
  <si>
    <t xml:space="preserve">Una-tantum – solo Anno 1</t>
  </si>
  <si>
    <t xml:space="preserve">COSTO TOTALE COORTE Anno 1 (€)</t>
  </si>
  <si>
    <t xml:space="preserve">Costo × N pazienti</t>
  </si>
  <si>
    <t xml:space="preserve">COSTO TOTALE COORTE Anno 2 (€, senza onboarding)</t>
  </si>
  <si>
    <t xml:space="preserve">Con tasso inflazione sanitaria</t>
  </si>
  <si>
    <t xml:space="preserve">COSTO TOTALE COORTE Anno 3 (€)</t>
  </si>
  <si>
    <t xml:space="preserve">Composto per 2 anni inflazione</t>
  </si>
  <si>
    <t xml:space="preserve">B  |  EFFETTI IN QALY PER COORTE  (da Parametri, utilità EQ-5D)</t>
  </si>
  <si>
    <t xml:space="preserve">Responder (N pazienti)</t>
  </si>
  <si>
    <t xml:space="preserve">N × tasso risposta PHQ-9</t>
  </si>
  <si>
    <t xml:space="preserve">Non-responder (N pazienti)</t>
  </si>
  <si>
    <t xml:space="preserve">Pazienti totali − responder</t>
  </si>
  <si>
    <t xml:space="preserve">QALY guadagnati – responder (Anno 1)</t>
  </si>
  <si>
    <t xml:space="preserve">N responder × QALY unitario (EQ-5D)</t>
  </si>
  <si>
    <t xml:space="preserve">QALY guadagnati – non-responder (Anno 1)</t>
  </si>
  <si>
    <t xml:space="preserve">N non-resp × QALY residuo</t>
  </si>
  <si>
    <t xml:space="preserve">QALY TOTALI COORTE – Anno 1</t>
  </si>
  <si>
    <t xml:space="preserve">Somma responder + non-responder</t>
  </si>
  <si>
    <t xml:space="preserve">QALY TOTALI COORTE – Anno 2 (mantenimento decay)</t>
  </si>
  <si>
    <t xml:space="preserve">Anno 1 × fattore decay Parametri</t>
  </si>
  <si>
    <t xml:space="preserve">QALY TOTALI COORTE – Anno 3 (mantenimento decay)</t>
  </si>
  <si>
    <t xml:space="preserve">C  |  CALCOLO ICER  (Incremental Cost-Effectiveness Ratio)</t>
  </si>
  <si>
    <t xml:space="preserve">ΔCosto (CC − iCBT) – Anno 1 (€)</t>
  </si>
  <si>
    <t xml:space="preserve">Δ = Collaborative Care − iCBT</t>
  </si>
  <si>
    <t xml:space="preserve">ΔCosto (CC − iCBT) – Anno 2 (€)</t>
  </si>
  <si>
    <t xml:space="preserve">ΔCosto (CC − iCBT) – Anno 3 (€)</t>
  </si>
  <si>
    <t xml:space="preserve">ΔQALY (CC − iCBT) – Anno 1</t>
  </si>
  <si>
    <t xml:space="preserve">ΔQALY (CC − iCBT) – Anno 2</t>
  </si>
  <si>
    <t xml:space="preserve">ΔQALY (CC − iCBT) – Anno 3</t>
  </si>
  <si>
    <t xml:space="preserve">ICER per QALY – Anno 1 (€/QALY)</t>
  </si>
  <si>
    <t xml:space="preserve">ICER &lt; soglia WTP → CC cost-effective vs iCBT</t>
  </si>
  <si>
    <t xml:space="preserve">ICER per QALY – Anno 2 (€/QALY)</t>
  </si>
  <si>
    <t xml:space="preserve">ICER cumulativo 2 anni</t>
  </si>
  <si>
    <t xml:space="preserve">ICER per QALY – Anno 3 (€/QALY)</t>
  </si>
  <si>
    <t xml:space="preserve">ICER cumulativo 3 anni</t>
  </si>
  <si>
    <t xml:space="preserve">D  |  GIUDIZIO AUTOMATICO DI COST-EFFECTIVENESS  (vs soglia WTP)</t>
  </si>
  <si>
    <t xml:space="preserve">Soglia WTP (€/QALY) da Parametri</t>
  </si>
  <si>
    <t xml:space="preserve">Threshold SSN europeo – modificabile</t>
  </si>
  <si>
    <t xml:space="preserve">Giudizio ICER Anno 1</t>
  </si>
  <si>
    <t xml:space="preserve">Confronto ICER vs soglia WTP</t>
  </si>
  <si>
    <t xml:space="preserve">Giudizio ICER Anno 2</t>
  </si>
  <si>
    <t xml:space="preserve">Giudizio ICER Anno 3</t>
  </si>
  <si>
    <t xml:space="preserve">ANALISI ROI  |  iCBT vs Collaborative Care  |  Orizzonte 12 – 24 – 36 mesi</t>
  </si>
  <si>
    <t xml:space="preserve">ROI = (Benefici Totali – Costi Totali) / Costi Totali  |  Include benefici clinici + risparmio assenteismo</t>
  </si>
  <si>
    <t xml:space="preserve">Componente ROI</t>
  </si>
  <si>
    <t xml:space="preserve">iCBT
Anno 1</t>
  </si>
  <si>
    <t xml:space="preserve">iCBT
Anno 2</t>
  </si>
  <si>
    <t xml:space="preserve">iCBT
Anno 3</t>
  </si>
  <si>
    <t xml:space="preserve">CollabCare
Anno 1</t>
  </si>
  <si>
    <t xml:space="preserve">CollabCare
Anno 2</t>
  </si>
  <si>
    <t xml:space="preserve">CollabCare
Anno 3</t>
  </si>
  <si>
    <t xml:space="preserve">Diff Anno 1
(CC−iCBT, €)</t>
  </si>
  <si>
    <t xml:space="preserve">Diff Anno 3
(CC−iCBT, €)</t>
  </si>
  <si>
    <t xml:space="preserve">A  |  INVESTIMENTI (COSTI TOTALI, €)</t>
  </si>
  <si>
    <t xml:space="preserve">Costi totali – Anno 1 (€)</t>
  </si>
  <si>
    <t xml:space="preserve">Costi cumulativi 12 mesi (€)</t>
  </si>
  <si>
    <t xml:space="preserve">N/A</t>
  </si>
  <si>
    <t xml:space="preserve">Costi cumulativi 24 mesi (€)</t>
  </si>
  <si>
    <t xml:space="preserve">Costi cumulativi 36 mesi (€)</t>
  </si>
  <si>
    <t xml:space="preserve">B  |  BENEFICI TOTALI  (Clinici + Risparmio Assenteismo, €)</t>
  </si>
  <si>
    <t xml:space="preserve">Beneficio clinico QALY monetiz. – Anno 1 (€)</t>
  </si>
  <si>
    <t xml:space="preserve">Risparmio assenteismo responder – Anno 1 (€)</t>
  </si>
  <si>
    <t xml:space="preserve">TOTALE BENEFICI – per anno (€)</t>
  </si>
  <si>
    <t xml:space="preserve">C  |  ROI CALCOLATO  =  (Benefici – Costi) / Costi</t>
  </si>
  <si>
    <t xml:space="preserve">Net Benefit – 12 mesi (€)</t>
  </si>
  <si>
    <t xml:space="preserve">Net Benefit – 24 mesi (€)</t>
  </si>
  <si>
    <t xml:space="preserve">Net Benefit – 36 mesi (€)</t>
  </si>
  <si>
    <t xml:space="preserve">ROI – 12 mesi (%)</t>
  </si>
  <si>
    <t xml:space="preserve">ROI – 24 mesi (%)</t>
  </si>
  <si>
    <t xml:space="preserve">ROI – 36 mesi (%)</t>
  </si>
  <si>
    <t xml:space="preserve">Payback period stimato – iCBT</t>
  </si>
  <si>
    <t xml:space="preserve">ANALISI DI SENSIBILITÀ  |  Variazione Parametri chiave su ICER e ROI</t>
  </si>
  <si>
    <t xml:space="preserve">Ogni parametro viene variato ±20% e ±40% rispetto al valore base (ceteris paribus). I valori base provengono dal foglio Parametri.</t>
  </si>
  <si>
    <t xml:space="preserve">A  |  SENSIBILITÀ UNIVARIATA SU ICER (€/QALY, Anno 1)  –  Variazione ±20% / ±40% dal valore base</t>
  </si>
  <si>
    <t xml:space="preserve">Valore Base</t>
  </si>
  <si>
    <t xml:space="preserve">−40%
ICER (€/QALY)</t>
  </si>
  <si>
    <t xml:space="preserve">−20%
ICER (€/QALY)</t>
  </si>
  <si>
    <t xml:space="preserve">Base
ICER (€/QALY)</t>
  </si>
  <si>
    <t xml:space="preserve">+20%
ICER (€/QALY)</t>
  </si>
  <si>
    <t xml:space="preserve">+40%
ICER (€/QALY)</t>
  </si>
  <si>
    <t xml:space="preserve">Range ICER
(max−min)</t>
  </si>
  <si>
    <t xml:space="preserve">Costo ricorrente/paz iCBT (€)</t>
  </si>
  <si>
    <t xml:space="preserve">Costo ricorrente/paz CollabCare (€)</t>
  </si>
  <si>
    <t xml:space="preserve">Tasso risposta iCBT (PHQ-9 ≥50%)</t>
  </si>
  <si>
    <t xml:space="preserve">Tasso risposta CollabCare</t>
  </si>
  <si>
    <t xml:space="preserve">QALY guadagnati responder iCBT</t>
  </si>
  <si>
    <t xml:space="preserve">QALY guadagnati responder CC</t>
  </si>
  <si>
    <t xml:space="preserve">Dimensione coorte (N pazienti)</t>
  </si>
  <si>
    <t xml:space="preserve">B  |  SENSIBILITÀ BI-VARIATA  –  Costo/paz iCBT (riga) × Tasso Risposta iCBT (colonna)</t>
  </si>
  <si>
    <t xml:space="preserve">Valori = ICER (€/QALY, Anno 1). Verde = ICER &lt; €30.000/QALY (CC cost-effective); Rosso = ICER &gt; €30.000/QALY. Giallo = zona critica ±10%.</t>
  </si>
  <si>
    <t xml:space="preserve">Costo/paz iCBT →
 Risposta iCBT ↓</t>
  </si>
  <si>
    <t xml:space="preserve">C  |  SENSIBILITÀ ROI 36 MESI  –  iCBT al variare di N pazienti e Costo Piattaforma</t>
  </si>
  <si>
    <t xml:space="preserve">Tabella: N pazienti (righe) × Costo piattaforma/paz (colonne). Valori = ROI% iCBT a 36 mesi.</t>
  </si>
  <si>
    <t xml:space="preserve">N paz →
Costo piatt ↓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</si>
</sst>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€#,##0"/>
    <numFmt numFmtId="166" formatCode="#,##0"/>
    <numFmt numFmtId="167" formatCode="0.0%"/>
    <numFmt numFmtId="168" formatCode="@"/>
    <numFmt numFmtId="169" formatCode="#,##0.00"/>
    <numFmt numFmtId="170" formatCode="#,##0.0000"/>
    <numFmt numFmtId="171" formatCode="0.000"/>
    <numFmt numFmtId="172" formatCode="\€#,##0.00"/>
    <numFmt numFmtId="173" formatCode="#,##0.000"/>
    <numFmt numFmtId="174" formatCode="0.0&quot; mesi&quot;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9"/>
      <color rgb="FF7A797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28251D"/>
      <name val="Calibri"/>
      <family val="0"/>
      <charset val="1"/>
    </font>
    <font>
      <b val="true"/>
      <sz val="11"/>
      <color rgb="FF008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0"/>
      <color rgb="FF28251D"/>
      <name val="Calibri"/>
      <family val="0"/>
      <charset val="1"/>
    </font>
    <font>
      <sz val="9"/>
      <color rgb="FF7A7974"/>
      <name val="Calibri"/>
      <family val="0"/>
      <charset val="1"/>
    </font>
    <font>
      <b val="true"/>
      <sz val="10"/>
      <color rgb="FF008000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8"/>
      <color rgb="FF7A7974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9"/>
      <color rgb="FF008000"/>
      <name val="Calibri"/>
      <family val="0"/>
      <charset val="1"/>
    </font>
    <font>
      <b val="true"/>
      <sz val="9"/>
      <color rgb="FF7A590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B474D"/>
        <bgColor rgb="FF2B4D8F"/>
      </patternFill>
    </fill>
    <fill>
      <patternFill patternType="solid">
        <fgColor rgb="FF20808D"/>
        <bgColor rgb="FF008080"/>
      </patternFill>
    </fill>
    <fill>
      <patternFill patternType="solid">
        <fgColor rgb="FFF7F6F2"/>
        <bgColor rgb="FFFAFAF8"/>
      </patternFill>
    </fill>
    <fill>
      <patternFill patternType="solid">
        <fgColor rgb="FFEBF3FA"/>
        <bgColor rgb="FFE8ECF5"/>
      </patternFill>
    </fill>
    <fill>
      <patternFill patternType="solid">
        <fgColor rgb="FFFAF0ED"/>
        <bgColor rgb="FFF7F6F2"/>
      </patternFill>
    </fill>
    <fill>
      <patternFill patternType="solid">
        <fgColor rgb="FFFFF2CC"/>
        <bgColor rgb="FFFAF0ED"/>
      </patternFill>
    </fill>
    <fill>
      <patternFill patternType="solid">
        <fgColor rgb="FFE2EFDA"/>
        <bgColor rgb="FFE8E8E8"/>
      </patternFill>
    </fill>
    <fill>
      <patternFill patternType="solid">
        <fgColor rgb="FFBCE2E7"/>
        <bgColor rgb="FFD9E7F5"/>
      </patternFill>
    </fill>
    <fill>
      <patternFill patternType="solid">
        <fgColor rgb="FF4472C4"/>
        <bgColor rgb="FF365FA3"/>
      </patternFill>
    </fill>
    <fill>
      <patternFill patternType="solid">
        <fgColor rgb="FFA84B2F"/>
        <bgColor rgb="FF8F3D25"/>
      </patternFill>
    </fill>
    <fill>
      <patternFill patternType="solid">
        <fgColor rgb="FFFAFAF8"/>
        <bgColor rgb="FFF7F6F2"/>
      </patternFill>
    </fill>
    <fill>
      <patternFill patternType="solid">
        <fgColor rgb="FFE8E8E8"/>
        <bgColor rgb="FFE8ECF5"/>
      </patternFill>
    </fill>
    <fill>
      <patternFill patternType="solid">
        <fgColor rgb="FFD9E7F5"/>
        <bgColor rgb="FFE8ECF5"/>
      </patternFill>
    </fill>
    <fill>
      <patternFill patternType="solid">
        <fgColor rgb="FFF5DDD8"/>
        <bgColor rgb="FFE8E8E8"/>
      </patternFill>
    </fill>
    <fill>
      <patternFill patternType="solid">
        <fgColor rgb="FFE8ECF5"/>
        <bgColor rgb="FFE8E8E8"/>
      </patternFill>
    </fill>
    <fill>
      <patternFill patternType="solid">
        <fgColor rgb="FF365FA3"/>
        <bgColor rgb="FF2B4D8F"/>
      </patternFill>
    </fill>
    <fill>
      <patternFill patternType="solid">
        <fgColor rgb="FF2B4D8F"/>
        <bgColor rgb="FF365FA3"/>
      </patternFill>
    </fill>
    <fill>
      <patternFill patternType="solid">
        <fgColor rgb="FF8F3D25"/>
        <bgColor rgb="FFA84B2F"/>
      </patternFill>
    </fill>
    <fill>
      <patternFill patternType="solid">
        <fgColor rgb="FF73301C"/>
        <bgColor rgb="FF8F3D25"/>
      </patternFill>
    </fill>
    <fill>
      <patternFill patternType="solid">
        <fgColor rgb="FFC06040"/>
        <bgColor rgb="FFA84B2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 diagonalUp="false" diagonalDown="false">
      <left style="thin">
        <color rgb="FFD4D1CA"/>
      </left>
      <right/>
      <top style="thin">
        <color rgb="FFD4D1CA"/>
      </top>
      <bottom style="thin">
        <color rgb="FFD4D1CA"/>
      </bottom>
      <diagonal/>
    </border>
    <border diagonalUp="false" diagonalDown="false">
      <left/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AFAF8"/>
      <rgbColor rgb="FFFF00FF"/>
      <rgbColor rgb="FF00FFFF"/>
      <rgbColor rgb="FF800000"/>
      <rgbColor rgb="FF008000"/>
      <rgbColor rgb="FF000080"/>
      <rgbColor rgb="FF7A5900"/>
      <rgbColor rgb="FF800080"/>
      <rgbColor rgb="FF20808D"/>
      <rgbColor rgb="FFD4D1CA"/>
      <rgbColor rgb="FF7A7974"/>
      <rgbColor rgb="FF9999FF"/>
      <rgbColor rgb="FFA84B2F"/>
      <rgbColor rgb="FFFFF2CC"/>
      <rgbColor rgb="FFEBF3FA"/>
      <rgbColor rgb="FF660066"/>
      <rgbColor rgb="FFFF8080"/>
      <rgbColor rgb="FF0066CC"/>
      <rgbColor rgb="FFBCE2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7F5"/>
      <rgbColor rgb="FFE2EFDA"/>
      <rgbColor rgb="FFFAF0ED"/>
      <rgbColor rgb="FFE8E8E8"/>
      <rgbColor rgb="FFF7F6F2"/>
      <rgbColor rgb="FFE8ECF5"/>
      <rgbColor rgb="FFF5DDD8"/>
      <rgbColor rgb="FF4472C4"/>
      <rgbColor rgb="FF33CCCC"/>
      <rgbColor rgb="FF99CC00"/>
      <rgbColor rgb="FFFFCC00"/>
      <rgbColor rgb="FFFF9900"/>
      <rgbColor rgb="FFC06040"/>
      <rgbColor rgb="FF365FA3"/>
      <rgbColor rgb="FF969696"/>
      <rgbColor rgb="FF1B474D"/>
      <rgbColor rgb="FF339966"/>
      <rgbColor rgb="FF003300"/>
      <rgbColor rgb="FF333300"/>
      <rgbColor rgb="FF8F3D25"/>
      <rgbColor rgb="FF73301C"/>
      <rgbColor rgb="FF2B4D8F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K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4" min="3" style="1" width="18"/>
    <col collapsed="false" customWidth="true" hidden="false" outlineLevel="0" max="5" min="5" style="1" width="3"/>
    <col collapsed="false" customWidth="true" hidden="false" outlineLevel="0" max="6" min="6" style="1" width="28"/>
    <col collapsed="false" customWidth="true" hidden="false" outlineLevel="0" max="8" min="7" style="1" width="18"/>
    <col collapsed="false" customWidth="true" hidden="false" outlineLevel="0" max="9" min="9" style="1" width="3"/>
    <col collapsed="false" customWidth="true" hidden="false" outlineLevel="0" max="10" min="10" style="1" width="28"/>
    <col collapsed="false" customWidth="true" hidden="false" outlineLevel="0" max="11" min="11" style="1" width="14"/>
  </cols>
  <sheetData>
    <row r="1" customFormat="false" ht="7.5" hidden="false" customHeight="true" outlineLevel="0" collapsed="false"/>
    <row r="2" customFormat="false" ht="43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</row>
    <row r="4" customFormat="false" ht="7.5" hidden="false" customHeight="true" outlineLevel="0" collapsed="false"/>
    <row r="5" customFormat="false" ht="18" hidden="false" customHeight="true" outlineLevel="0" collapsed="false">
      <c r="B5" s="4" t="s">
        <v>2</v>
      </c>
      <c r="C5" s="4"/>
      <c r="D5" s="4"/>
      <c r="F5" s="4" t="s">
        <v>3</v>
      </c>
      <c r="G5" s="4"/>
      <c r="H5" s="4"/>
    </row>
    <row r="6" customFormat="false" ht="25.5" hidden="false" customHeight="true" outlineLevel="0" collapsed="false">
      <c r="B6" s="5" t="s">
        <v>4</v>
      </c>
      <c r="C6" s="6" t="n">
        <f aca="false">Parametri!C49</f>
        <v>250000</v>
      </c>
      <c r="D6" s="7"/>
      <c r="E6" s="8"/>
      <c r="F6" s="5" t="s">
        <v>4</v>
      </c>
      <c r="G6" s="9" t="n">
        <f aca="false">Parametri!D49</f>
        <v>250000</v>
      </c>
      <c r="H6" s="7"/>
    </row>
    <row r="7" customFormat="false" ht="25.5" hidden="false" customHeight="true" outlineLevel="0" collapsed="false">
      <c r="B7" s="5" t="s">
        <v>5</v>
      </c>
      <c r="C7" s="10" t="n">
        <f aca="false">FLOOR(Parametri!C49/(Parametri!C26+Parametri!C25),1)</f>
        <v>528</v>
      </c>
      <c r="D7" s="7"/>
      <c r="E7" s="8"/>
      <c r="F7" s="5" t="s">
        <v>5</v>
      </c>
      <c r="G7" s="11" t="n">
        <f aca="false">FLOOR(Parametri!D49/(Parametri!D26+Parametri!D25),1)</f>
        <v>89</v>
      </c>
      <c r="H7" s="7"/>
    </row>
    <row r="8" customFormat="false" ht="25.5" hidden="false" customHeight="true" outlineLevel="0" collapsed="false">
      <c r="B8" s="5" t="s">
        <v>6</v>
      </c>
      <c r="C8" s="6" t="n">
        <f aca="false">Parametri!C26</f>
        <v>442.75</v>
      </c>
      <c r="D8" s="7"/>
      <c r="E8" s="8"/>
      <c r="F8" s="5" t="s">
        <v>6</v>
      </c>
      <c r="G8" s="9" t="n">
        <f aca="false">Parametri!D26</f>
        <v>2731.25</v>
      </c>
      <c r="H8" s="7"/>
    </row>
    <row r="9" customFormat="false" ht="25.5" hidden="false" customHeight="true" outlineLevel="0" collapsed="false">
      <c r="B9" s="5" t="s">
        <v>7</v>
      </c>
      <c r="C9" s="12" t="n">
        <f aca="false">'ROI 12-24-36 mesi'!C21</f>
        <v>5.37255208884188</v>
      </c>
      <c r="D9" s="7"/>
      <c r="E9" s="8"/>
      <c r="F9" s="5" t="s">
        <v>7</v>
      </c>
      <c r="G9" s="13" t="n">
        <f aca="false">'ROI 12-24-36 mesi'!F21</f>
        <v>0.42825995505618</v>
      </c>
      <c r="H9" s="7"/>
    </row>
    <row r="10" customFormat="false" ht="25.5" hidden="false" customHeight="true" outlineLevel="0" collapsed="false">
      <c r="B10" s="5" t="s">
        <v>8</v>
      </c>
      <c r="C10" s="12" t="n">
        <f aca="false">'ROI 12-24-36 mesi'!C23</f>
        <v>5.02233725518221</v>
      </c>
      <c r="D10" s="7"/>
      <c r="E10" s="8"/>
      <c r="F10" s="5" t="s">
        <v>8</v>
      </c>
      <c r="G10" s="13" t="n">
        <f aca="false">'ROI 12-24-36 mesi'!F23</f>
        <v>0.355871861875666</v>
      </c>
      <c r="H10" s="7"/>
    </row>
    <row r="11" customFormat="false" ht="25.5" hidden="false" customHeight="true" outlineLevel="0" collapsed="false">
      <c r="B11" s="5" t="s">
        <v>9</v>
      </c>
      <c r="C11" s="6" t="n">
        <f aca="false">'Analisi ICER'!C31</f>
        <v>162000</v>
      </c>
      <c r="D11" s="7"/>
      <c r="E11" s="8"/>
      <c r="F11" s="5" t="s">
        <v>9</v>
      </c>
      <c r="G11" s="14" t="s">
        <v>10</v>
      </c>
      <c r="H11" s="7"/>
    </row>
    <row r="12" customFormat="false" ht="7.5" hidden="false" customHeight="true" outlineLevel="0" collapsed="false"/>
    <row r="13" customFormat="false" ht="24" hidden="false" customHeight="true" outlineLevel="0" collapsed="false">
      <c r="B13" s="15" t="s">
        <v>11</v>
      </c>
      <c r="C13" s="15"/>
      <c r="D13" s="15"/>
      <c r="E13" s="15"/>
      <c r="F13" s="15"/>
      <c r="G13" s="15"/>
      <c r="H13" s="15"/>
      <c r="I13" s="15"/>
      <c r="J13" s="15"/>
      <c r="K13" s="15"/>
    </row>
    <row r="14" customFormat="false" ht="21.75" hidden="false" customHeight="true" outlineLevel="0" collapsed="false">
      <c r="B14" s="16" t="s">
        <v>12</v>
      </c>
      <c r="C14" s="17" t="n">
        <f aca="false">Parametri!C49</f>
        <v>250000</v>
      </c>
      <c r="D14" s="17"/>
      <c r="F14" s="16" t="s">
        <v>12</v>
      </c>
      <c r="J14" s="18" t="s">
        <v>13</v>
      </c>
      <c r="K14" s="18"/>
    </row>
    <row r="15" customFormat="false" ht="21.75" hidden="false" customHeight="true" outlineLevel="0" collapsed="false">
      <c r="B15" s="16" t="s">
        <v>14</v>
      </c>
      <c r="C15" s="19" t="n">
        <f aca="false">FLOOR(Parametri!C49/(Parametri!C26+Parametri!C25),1)</f>
        <v>528</v>
      </c>
      <c r="D15" s="19"/>
      <c r="F15" s="16" t="s">
        <v>14</v>
      </c>
      <c r="J15" s="20" t="s">
        <v>15</v>
      </c>
      <c r="K15" s="20"/>
    </row>
    <row r="16" customFormat="false" ht="21.75" hidden="false" customHeight="true" outlineLevel="0" collapsed="false">
      <c r="B16" s="16" t="s">
        <v>16</v>
      </c>
      <c r="C16" s="19" t="n">
        <f aca="false">FLOOR(Parametri!D49/(Parametri!D26+Parametri!D25),1)</f>
        <v>89</v>
      </c>
      <c r="D16" s="19"/>
      <c r="F16" s="16" t="s">
        <v>16</v>
      </c>
      <c r="J16" s="20" t="s">
        <v>15</v>
      </c>
      <c r="K16" s="20"/>
    </row>
    <row r="17" customFormat="false" ht="21.75" hidden="false" customHeight="true" outlineLevel="0" collapsed="false">
      <c r="B17" s="16" t="s">
        <v>17</v>
      </c>
      <c r="C17" s="17" t="n">
        <f aca="false">Parametri!D26-Parametri!C26</f>
        <v>2288.5</v>
      </c>
      <c r="D17" s="17"/>
      <c r="F17" s="16" t="s">
        <v>17</v>
      </c>
      <c r="J17" s="18" t="s">
        <v>18</v>
      </c>
      <c r="K17" s="18"/>
    </row>
    <row r="18" customFormat="false" ht="21.75" hidden="false" customHeight="true" outlineLevel="0" collapsed="false">
      <c r="B18" s="16" t="s">
        <v>19</v>
      </c>
      <c r="C18" s="19" t="n">
        <f aca="false">FLOOR(Parametri!C49/(Parametri!C26+Parametri!C25),1)-FLOOR(Parametri!D49/(Parametri!D26+Parametri!D25),1)</f>
        <v>439</v>
      </c>
      <c r="D18" s="19"/>
      <c r="F18" s="16" t="s">
        <v>19</v>
      </c>
      <c r="J18" s="18" t="s">
        <v>20</v>
      </c>
      <c r="K18" s="18"/>
    </row>
    <row r="19" customFormat="false" ht="21.75" hidden="false" customHeight="true" outlineLevel="0" collapsed="false">
      <c r="B19" s="16" t="s">
        <v>21</v>
      </c>
      <c r="C19" s="21" t="n">
        <f aca="false">'Analisi ICER'!C19</f>
        <v>7.704</v>
      </c>
      <c r="D19" s="21"/>
      <c r="F19" s="16" t="s">
        <v>21</v>
      </c>
      <c r="J19" s="18" t="s">
        <v>22</v>
      </c>
      <c r="K19" s="18"/>
    </row>
    <row r="20" customFormat="false" ht="21.75" hidden="false" customHeight="true" outlineLevel="0" collapsed="false">
      <c r="B20" s="16" t="s">
        <v>23</v>
      </c>
      <c r="C20" s="21" t="n">
        <f aca="false">'Analisi ICER'!D19</f>
        <v>10.554</v>
      </c>
      <c r="D20" s="21"/>
      <c r="F20" s="16" t="s">
        <v>23</v>
      </c>
      <c r="J20" s="18" t="s">
        <v>24</v>
      </c>
      <c r="K20" s="18"/>
    </row>
    <row r="21" customFormat="false" ht="21.75" hidden="false" customHeight="true" outlineLevel="0" collapsed="false">
      <c r="B21" s="16" t="s">
        <v>25</v>
      </c>
      <c r="C21" s="22" t="n">
        <f aca="false">IFERROR('Analisi ICER'!C19/'Analisi ICER'!C10,"N/A")</f>
        <v>8.14806980433633E-005</v>
      </c>
      <c r="D21" s="22"/>
      <c r="F21" s="16" t="s">
        <v>25</v>
      </c>
      <c r="J21" s="18" t="s">
        <v>26</v>
      </c>
      <c r="K21" s="18"/>
    </row>
    <row r="22" customFormat="false" ht="21.75" hidden="false" customHeight="true" outlineLevel="0" collapsed="false">
      <c r="B22" s="16" t="s">
        <v>27</v>
      </c>
      <c r="C22" s="22" t="n">
        <f aca="false">IFERROR('Analisi ICER'!D19/'Analisi ICER'!D10,"N/A")</f>
        <v>1.89734831460674E-005</v>
      </c>
      <c r="D22" s="22"/>
      <c r="F22" s="16" t="s">
        <v>27</v>
      </c>
      <c r="J22" s="18" t="s">
        <v>26</v>
      </c>
      <c r="K22" s="18"/>
    </row>
    <row r="23" customFormat="false" ht="7.5" hidden="false" customHeight="true" outlineLevel="0" collapsed="false"/>
    <row r="24" customFormat="false" ht="24" hidden="false" customHeight="true" outlineLevel="0" collapsed="false">
      <c r="B24" s="23" t="s">
        <v>28</v>
      </c>
      <c r="C24" s="23"/>
      <c r="D24" s="23"/>
      <c r="E24" s="23"/>
      <c r="F24" s="23"/>
      <c r="G24" s="23"/>
      <c r="H24" s="23"/>
      <c r="I24" s="23"/>
      <c r="J24" s="23"/>
      <c r="K24" s="24"/>
    </row>
    <row r="25" customFormat="false" ht="24" hidden="false" customHeight="true" outlineLevel="0" collapsed="false">
      <c r="B25" s="16" t="s">
        <v>29</v>
      </c>
      <c r="C25" s="25" t="str">
        <f aca="false">IF(Parametri!C49&lt;50000,"→ SOLO iCBT: budget limitato, max accesso al costo più basso",IF(Parametri!C49&lt;150000,"→ iCBT prioritario + CC per casi complessi (PHQ-9 ≥15)","→ MODELLO IBRIDO: iCBT lieve-mod / CC moderata-grave – ottimale per copertura e outcome"))</f>
        <v>→ MODELLO IBRIDO: iCBT lieve-mod / CC moderata-grave – ottimale per copertura e outcome</v>
      </c>
      <c r="D25" s="25"/>
      <c r="E25" s="25"/>
      <c r="F25" s="25"/>
      <c r="G25" s="25"/>
      <c r="H25" s="25"/>
      <c r="I25" s="25"/>
      <c r="J25" s="25"/>
      <c r="K25" s="25"/>
    </row>
    <row r="26" customFormat="false" ht="21.75" hidden="false" customHeight="true" outlineLevel="0" collapsed="false">
      <c r="B26" s="16" t="s">
        <v>30</v>
      </c>
      <c r="C26" s="26" t="str">
        <f aca="false">'Analisi ICER'!C37</f>
        <v>✗ CC NON cost-effective (Anno 1)</v>
      </c>
      <c r="D26" s="26"/>
      <c r="E26" s="26"/>
      <c r="F26" s="26"/>
      <c r="G26" s="26"/>
      <c r="H26" s="26"/>
      <c r="I26" s="26"/>
      <c r="J26" s="26"/>
      <c r="K26" s="26"/>
    </row>
    <row r="27" customFormat="false" ht="19.5" hidden="false" customHeight="true" outlineLevel="0" collapsed="false">
      <c r="B27" s="16" t="s">
        <v>31</v>
      </c>
      <c r="C27" s="27" t="str">
        <f aca="false">"PHQ-9 5–14 (lieve-moderata): "&amp;TEXT(Parametri!C9*100,"0.0")&amp;"% della coorte"</f>
        <v>PHQ-9 5–14 (lieve-moderata): 65.0% della coorte</v>
      </c>
      <c r="D27" s="27"/>
      <c r="E27" s="27"/>
      <c r="F27" s="27"/>
      <c r="G27" s="27"/>
      <c r="H27" s="27"/>
      <c r="I27" s="27"/>
      <c r="J27" s="27"/>
      <c r="K27" s="27"/>
    </row>
    <row r="28" customFormat="false" ht="19.5" hidden="false" customHeight="true" outlineLevel="0" collapsed="false">
      <c r="B28" s="16" t="s">
        <v>32</v>
      </c>
      <c r="C28" s="28" t="str">
        <f aca="false">"PHQ-9 ≥15 (moderata-grave): "&amp;TEXT(Parametri!C10*100,"0.0")&amp;"% della coorte"</f>
        <v>PHQ-9 ≥15 (moderata-grave): 35.0% della coorte</v>
      </c>
      <c r="D28" s="28"/>
      <c r="E28" s="28"/>
      <c r="F28" s="28"/>
      <c r="G28" s="28"/>
      <c r="H28" s="28"/>
      <c r="I28" s="28"/>
      <c r="J28" s="28"/>
      <c r="K28" s="28"/>
    </row>
    <row r="29" customFormat="false" ht="7.5" hidden="false" customHeight="true" outlineLevel="0" collapsed="false"/>
    <row r="30" customFormat="false" ht="19.5" hidden="false" customHeight="true" outlineLevel="0" collapsed="false">
      <c r="B30" s="29" t="s">
        <v>33</v>
      </c>
      <c r="C30" s="29"/>
      <c r="D30" s="29"/>
      <c r="E30" s="29"/>
      <c r="F30" s="29"/>
      <c r="G30" s="29"/>
      <c r="H30" s="29"/>
      <c r="I30" s="29"/>
      <c r="J30" s="29"/>
    </row>
    <row r="31" customFormat="false" ht="30" hidden="false" customHeight="true" outlineLevel="0" collapsed="false">
      <c r="B31" s="30" t="s">
        <v>34</v>
      </c>
      <c r="C31" s="31" t="s">
        <v>35</v>
      </c>
      <c r="D31" s="32" t="s">
        <v>36</v>
      </c>
      <c r="E31" s="33" t="s">
        <v>37</v>
      </c>
    </row>
    <row r="32" customFormat="false" ht="21.75" hidden="false" customHeight="true" outlineLevel="0" collapsed="false">
      <c r="B32" s="5" t="s">
        <v>38</v>
      </c>
      <c r="C32" s="34" t="n">
        <f aca="false">Parametri!C26</f>
        <v>442.75</v>
      </c>
      <c r="D32" s="34" t="n">
        <f aca="false">Parametri!D26</f>
        <v>2731.25</v>
      </c>
      <c r="E32" s="35" t="str">
        <f aca="false">IF(Parametri!C26&lt;Parametri!D26,"✓ iCBT","✓ CollabCare")</f>
        <v>✓ iCBT</v>
      </c>
    </row>
    <row r="33" customFormat="false" ht="21.75" hidden="false" customHeight="true" outlineLevel="0" collapsed="false">
      <c r="B33" s="36" t="s">
        <v>39</v>
      </c>
      <c r="C33" s="37" t="n">
        <f aca="false">Parametri!C30</f>
        <v>0.52</v>
      </c>
      <c r="D33" s="37" t="n">
        <f aca="false">Parametri!D30</f>
        <v>0.61</v>
      </c>
      <c r="E33" s="38" t="str">
        <f aca="false">IF(Parametri!C30&gt;Parametri!D30,"✓ iCBT","✓ CollabCare")</f>
        <v>✓ CollabCare</v>
      </c>
    </row>
    <row r="34" customFormat="false" ht="21.75" hidden="false" customHeight="true" outlineLevel="0" collapsed="false">
      <c r="B34" s="5" t="s">
        <v>40</v>
      </c>
      <c r="C34" s="39" t="n">
        <f aca="false">Parametri!C34*Parametri!C30+Parametri!C35*(1-Parametri!C30)</f>
        <v>0.03852</v>
      </c>
      <c r="D34" s="39" t="n">
        <f aca="false">Parametri!D34*Parametri!D30+Parametri!D35*(1-Parametri!D30)</f>
        <v>0.05277</v>
      </c>
      <c r="E34" s="40" t="str">
        <f aca="false">IF(C32&gt;D32,"✓ iCBT","✓ CollabCare")</f>
        <v>✓ CollabCare</v>
      </c>
    </row>
    <row r="35" customFormat="false" ht="21.75" hidden="false" customHeight="true" outlineLevel="0" collapsed="false">
      <c r="B35" s="36" t="s">
        <v>41</v>
      </c>
      <c r="C35" s="41" t="n">
        <f aca="false">FLOOR(100000/(Parametri!C26+Parametri!C25),1)</f>
        <v>211</v>
      </c>
      <c r="D35" s="41" t="n">
        <f aca="false">FLOOR(100000/(Parametri!D26+Parametri!D25),1)</f>
        <v>35</v>
      </c>
      <c r="E35" s="42" t="str">
        <f aca="false">IF(C33&gt;D33,"✓ iCBT","✓ CollabCare")</f>
        <v>✓ CollabCare</v>
      </c>
    </row>
    <row r="36" customFormat="false" ht="21.75" hidden="false" customHeight="true" outlineLevel="0" collapsed="false">
      <c r="B36" s="5" t="s">
        <v>42</v>
      </c>
      <c r="C36" s="43" t="n">
        <f aca="false">'ROI 12-24-36 mesi'!C23</f>
        <v>5.02233725518221</v>
      </c>
      <c r="D36" s="43" t="n">
        <f aca="false">'ROI 12-24-36 mesi'!F23</f>
        <v>0.355871861875666</v>
      </c>
      <c r="E36" s="44" t="str">
        <f aca="false">IF(C34&gt;D34,"✓ iCBT","✓ CollabCare")</f>
        <v>✓ CollabCare</v>
      </c>
    </row>
    <row r="37" customFormat="false" ht="21.75" hidden="false" customHeight="true" outlineLevel="0" collapsed="false">
      <c r="B37" s="36" t="s">
        <v>43</v>
      </c>
      <c r="C37" s="45" t="str">
        <f aca="false">IF('Analisi ICER'!C31&lt;30000,"✓ Sotto soglia","✗ Sopra soglia")</f>
        <v>✗ Sopra soglia</v>
      </c>
      <c r="D37" s="46" t="s">
        <v>44</v>
      </c>
      <c r="E37" s="47" t="s">
        <v>45</v>
      </c>
    </row>
    <row r="38" customFormat="false" ht="21.75" hidden="false" customHeight="true" outlineLevel="0" collapsed="false">
      <c r="B38" s="5" t="s">
        <v>46</v>
      </c>
      <c r="C38" s="48" t="s">
        <v>47</v>
      </c>
      <c r="D38" s="48" t="s">
        <v>48</v>
      </c>
      <c r="E38" s="47" t="s">
        <v>49</v>
      </c>
    </row>
    <row r="39" customFormat="false" ht="21.75" hidden="false" customHeight="true" outlineLevel="0" collapsed="false">
      <c r="B39" s="36" t="s">
        <v>50</v>
      </c>
      <c r="C39" s="46" t="s">
        <v>51</v>
      </c>
      <c r="D39" s="46" t="s">
        <v>52</v>
      </c>
      <c r="E39" s="47" t="s">
        <v>53</v>
      </c>
    </row>
    <row r="40" customFormat="false" ht="21.75" hidden="false" customHeight="true" outlineLevel="0" collapsed="false">
      <c r="B40" s="5" t="s">
        <v>54</v>
      </c>
      <c r="C40" s="43" t="n">
        <f aca="false">Parametri!C33</f>
        <v>0.22</v>
      </c>
      <c r="D40" s="43" t="n">
        <f aca="false">Parametri!D33</f>
        <v>0.18</v>
      </c>
      <c r="E40" s="38" t="str">
        <f aca="false">IF(Parametri!C33&lt;Parametri!D33,"✓ iCBT","✓ CollabCare")</f>
        <v>✓ CollabCare</v>
      </c>
    </row>
    <row r="41" customFormat="false" ht="7.5" hidden="false" customHeight="true" outlineLevel="0" collapsed="false"/>
    <row r="42" customFormat="false" ht="36" hidden="false" customHeight="true" outlineLevel="0" collapsed="false">
      <c r="B42" s="49" t="s">
        <v>55</v>
      </c>
      <c r="C42" s="49"/>
      <c r="D42" s="49"/>
      <c r="E42" s="49"/>
      <c r="F42" s="49"/>
      <c r="G42" s="49"/>
      <c r="H42" s="49"/>
      <c r="I42" s="49"/>
      <c r="J42" s="49"/>
      <c r="K42" s="49"/>
    </row>
  </sheetData>
  <mergeCells count="30">
    <mergeCell ref="B2:K2"/>
    <mergeCell ref="B3:K3"/>
    <mergeCell ref="B5:D5"/>
    <mergeCell ref="F5:H5"/>
    <mergeCell ref="B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B24:J24"/>
    <mergeCell ref="C25:K25"/>
    <mergeCell ref="C26:K26"/>
    <mergeCell ref="C27:K27"/>
    <mergeCell ref="C28:K28"/>
    <mergeCell ref="B30:J30"/>
    <mergeCell ref="B42:K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4" min="3" style="1" width="18"/>
    <col collapsed="false" customWidth="true" hidden="false" outlineLevel="0" max="5" min="5" style="1" width="22"/>
    <col collapsed="false" customWidth="true" hidden="false" outlineLevel="0" max="6" min="6" style="1" width="35"/>
    <col collapsed="false" customWidth="true" hidden="true" outlineLevel="0" max="7" min="7" style="1" width="3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" t="s">
        <v>56</v>
      </c>
      <c r="C2" s="2"/>
      <c r="D2" s="2"/>
      <c r="E2" s="2"/>
      <c r="F2" s="2"/>
      <c r="G2" s="1" t="n">
        <v>26</v>
      </c>
    </row>
    <row r="3" customFormat="false" ht="19.5" hidden="false" customHeight="true" outlineLevel="0" collapsed="false">
      <c r="B3" s="3" t="s">
        <v>57</v>
      </c>
      <c r="C3" s="3"/>
      <c r="D3" s="3"/>
      <c r="E3" s="3"/>
      <c r="F3" s="3"/>
      <c r="G3" s="1" t="n">
        <v>34</v>
      </c>
    </row>
    <row r="4" customFormat="false" ht="18" hidden="false" customHeight="true" outlineLevel="0" collapsed="false">
      <c r="B4" s="50" t="s">
        <v>58</v>
      </c>
      <c r="C4" s="51" t="s">
        <v>59</v>
      </c>
      <c r="D4" s="52" t="s">
        <v>60</v>
      </c>
      <c r="E4" s="53" t="s">
        <v>61</v>
      </c>
      <c r="G4" s="1" t="n">
        <v>35</v>
      </c>
    </row>
    <row r="5" customFormat="false" ht="7.5" hidden="false" customHeight="true" outlineLevel="0" collapsed="false">
      <c r="G5" s="1" t="n">
        <v>30</v>
      </c>
    </row>
    <row r="6" customFormat="false" ht="19.5" hidden="false" customHeight="true" outlineLevel="0" collapsed="false">
      <c r="B6" s="29" t="s">
        <v>62</v>
      </c>
      <c r="C6" s="29"/>
      <c r="D6" s="29"/>
      <c r="E6" s="29"/>
      <c r="G6" s="1" t="n">
        <v>38</v>
      </c>
    </row>
    <row r="7" customFormat="false" ht="30" hidden="false" customHeight="true" outlineLevel="0" collapsed="false">
      <c r="B7" s="54" t="s">
        <v>63</v>
      </c>
      <c r="C7" s="54" t="s">
        <v>35</v>
      </c>
      <c r="D7" s="54" t="s">
        <v>36</v>
      </c>
      <c r="E7" s="54" t="s">
        <v>64</v>
      </c>
      <c r="G7" s="1" t="n">
        <v>39</v>
      </c>
    </row>
    <row r="8" customFormat="false" ht="18" hidden="false" customHeight="true" outlineLevel="0" collapsed="false">
      <c r="B8" s="5" t="s">
        <v>65</v>
      </c>
      <c r="C8" s="55" t="n">
        <v>200</v>
      </c>
      <c r="D8" s="56" t="n">
        <v>200</v>
      </c>
      <c r="E8" s="5" t="s">
        <v>66</v>
      </c>
      <c r="G8" s="1" t="n">
        <v>43</v>
      </c>
    </row>
    <row r="9" customFormat="false" ht="18" hidden="false" customHeight="true" outlineLevel="0" collapsed="false">
      <c r="B9" s="5" t="s">
        <v>67</v>
      </c>
      <c r="C9" s="57" t="n">
        <v>0.65</v>
      </c>
      <c r="D9" s="58" t="n">
        <v>0.6</v>
      </c>
      <c r="E9" s="5" t="s">
        <v>68</v>
      </c>
      <c r="G9" s="1" t="n">
        <v>44</v>
      </c>
    </row>
    <row r="10" customFormat="false" ht="18" hidden="false" customHeight="true" outlineLevel="0" collapsed="false">
      <c r="B10" s="5" t="s">
        <v>69</v>
      </c>
      <c r="C10" s="57" t="n">
        <v>0.35</v>
      </c>
      <c r="D10" s="58" t="n">
        <v>0.4</v>
      </c>
      <c r="E10" s="5" t="s">
        <v>68</v>
      </c>
      <c r="G10" s="1" t="n">
        <v>49</v>
      </c>
    </row>
    <row r="11" customFormat="false" ht="18" hidden="false" customHeight="true" outlineLevel="0" collapsed="false">
      <c r="B11" s="5" t="s">
        <v>70</v>
      </c>
      <c r="C11" s="55" t="n">
        <v>42</v>
      </c>
      <c r="D11" s="56" t="n">
        <v>42</v>
      </c>
      <c r="E11" s="5" t="s">
        <v>71</v>
      </c>
      <c r="G11" s="1" t="n">
        <v>46</v>
      </c>
    </row>
    <row r="12" customFormat="false" ht="18" hidden="false" customHeight="true" outlineLevel="0" collapsed="false">
      <c r="B12" s="5" t="s">
        <v>72</v>
      </c>
      <c r="C12" s="57" t="n">
        <v>0.68</v>
      </c>
      <c r="D12" s="58" t="n">
        <v>0.68</v>
      </c>
      <c r="E12" s="5" t="s">
        <v>68</v>
      </c>
      <c r="G12" s="1" t="n">
        <v>47</v>
      </c>
    </row>
    <row r="13" customFormat="false" ht="18" hidden="false" customHeight="true" outlineLevel="0" collapsed="false">
      <c r="B13" s="5" t="s">
        <v>73</v>
      </c>
      <c r="C13" s="55" t="n">
        <v>1</v>
      </c>
      <c r="D13" s="56" t="n">
        <v>1</v>
      </c>
      <c r="E13" s="5" t="s">
        <v>74</v>
      </c>
      <c r="G13" s="1" t="n">
        <v>48</v>
      </c>
    </row>
    <row r="14" customFormat="false" ht="7.5" hidden="false" customHeight="true" outlineLevel="0" collapsed="false">
      <c r="G14" s="1" t="n">
        <v>25</v>
      </c>
    </row>
    <row r="15" customFormat="false" ht="19.5" hidden="false" customHeight="true" outlineLevel="0" collapsed="false">
      <c r="B15" s="29" t="s">
        <v>75</v>
      </c>
      <c r="C15" s="29"/>
      <c r="D15" s="29"/>
      <c r="E15" s="29"/>
    </row>
    <row r="16" customFormat="false" ht="30" hidden="false" customHeight="true" outlineLevel="0" collapsed="false">
      <c r="B16" s="54" t="s">
        <v>63</v>
      </c>
      <c r="C16" s="54" t="s">
        <v>35</v>
      </c>
      <c r="D16" s="54" t="s">
        <v>36</v>
      </c>
      <c r="E16" s="54" t="s">
        <v>64</v>
      </c>
    </row>
    <row r="17" customFormat="false" ht="18" hidden="false" customHeight="true" outlineLevel="0" collapsed="false">
      <c r="B17" s="5" t="s">
        <v>76</v>
      </c>
      <c r="C17" s="57" t="n">
        <v>120</v>
      </c>
      <c r="D17" s="58" t="n">
        <v>0</v>
      </c>
      <c r="E17" s="5" t="s">
        <v>77</v>
      </c>
    </row>
    <row r="18" customFormat="false" ht="18" hidden="false" customHeight="true" outlineLevel="0" collapsed="false">
      <c r="B18" s="5" t="s">
        <v>78</v>
      </c>
      <c r="C18" s="57" t="n">
        <v>80</v>
      </c>
      <c r="D18" s="58" t="n">
        <v>1200</v>
      </c>
      <c r="E18" s="5" t="s">
        <v>79</v>
      </c>
    </row>
    <row r="19" customFormat="false" ht="18" hidden="false" customHeight="true" outlineLevel="0" collapsed="false">
      <c r="B19" s="5" t="s">
        <v>80</v>
      </c>
      <c r="C19" s="57" t="n">
        <v>0</v>
      </c>
      <c r="D19" s="58" t="n">
        <v>420</v>
      </c>
      <c r="E19" s="5" t="s">
        <v>81</v>
      </c>
    </row>
    <row r="20" customFormat="false" ht="18" hidden="false" customHeight="true" outlineLevel="0" collapsed="false">
      <c r="B20" s="5" t="s">
        <v>82</v>
      </c>
      <c r="C20" s="57" t="n">
        <v>60</v>
      </c>
      <c r="D20" s="58" t="n">
        <v>240</v>
      </c>
      <c r="E20" s="5" t="s">
        <v>83</v>
      </c>
    </row>
    <row r="21" customFormat="false" ht="18" hidden="false" customHeight="true" outlineLevel="0" collapsed="false">
      <c r="B21" s="5" t="s">
        <v>84</v>
      </c>
      <c r="C21" s="57" t="n">
        <v>0</v>
      </c>
      <c r="D21" s="58" t="n">
        <v>360</v>
      </c>
      <c r="E21" s="5" t="s">
        <v>85</v>
      </c>
    </row>
    <row r="22" customFormat="false" ht="18" hidden="false" customHeight="true" outlineLevel="0" collapsed="false">
      <c r="B22" s="5" t="s">
        <v>86</v>
      </c>
      <c r="C22" s="57" t="n">
        <v>80</v>
      </c>
      <c r="D22" s="58" t="n">
        <v>120</v>
      </c>
      <c r="E22" s="5" t="s">
        <v>87</v>
      </c>
    </row>
    <row r="23" customFormat="false" ht="18" hidden="false" customHeight="true" outlineLevel="0" collapsed="false">
      <c r="B23" s="5" t="s">
        <v>88</v>
      </c>
      <c r="C23" s="57" t="n">
        <v>45</v>
      </c>
      <c r="D23" s="58" t="n">
        <v>35</v>
      </c>
      <c r="E23" s="5" t="s">
        <v>89</v>
      </c>
    </row>
    <row r="24" customFormat="false" ht="18" hidden="false" customHeight="true" outlineLevel="0" collapsed="false">
      <c r="B24" s="5" t="s">
        <v>90</v>
      </c>
      <c r="C24" s="59" t="n">
        <f aca="false">SUM(C17:C23)*0.15</f>
        <v>57.75</v>
      </c>
      <c r="D24" s="60" t="n">
        <f aca="false">SUM(D17:D23)*0.15</f>
        <v>356.25</v>
      </c>
      <c r="E24" s="5" t="s">
        <v>91</v>
      </c>
    </row>
    <row r="25" customFormat="false" ht="18" hidden="false" customHeight="true" outlineLevel="0" collapsed="false">
      <c r="B25" s="61" t="s">
        <v>92</v>
      </c>
      <c r="C25" s="62" t="n">
        <v>30</v>
      </c>
      <c r="D25" s="62" t="n">
        <v>50</v>
      </c>
      <c r="E25" s="61" t="s">
        <v>93</v>
      </c>
    </row>
    <row r="26" customFormat="false" ht="21.75" hidden="false" customHeight="true" outlineLevel="0" collapsed="false">
      <c r="B26" s="63" t="s">
        <v>94</v>
      </c>
      <c r="C26" s="64" t="n">
        <f aca="false">SUM(C17:C24)</f>
        <v>442.75</v>
      </c>
      <c r="D26" s="65" t="n">
        <f aca="false">SUM(D17:D24)</f>
        <v>2731.25</v>
      </c>
      <c r="E26" s="5" t="s">
        <v>95</v>
      </c>
    </row>
    <row r="27" customFormat="false" ht="7.5" hidden="false" customHeight="true" outlineLevel="0" collapsed="false"/>
    <row r="28" customFormat="false" ht="19.5" hidden="false" customHeight="true" outlineLevel="0" collapsed="false">
      <c r="B28" s="29" t="s">
        <v>96</v>
      </c>
      <c r="C28" s="29"/>
      <c r="D28" s="29"/>
      <c r="E28" s="29"/>
    </row>
    <row r="29" customFormat="false" ht="30" hidden="false" customHeight="true" outlineLevel="0" collapsed="false">
      <c r="B29" s="54" t="s">
        <v>63</v>
      </c>
      <c r="C29" s="54" t="s">
        <v>35</v>
      </c>
      <c r="D29" s="54" t="s">
        <v>36</v>
      </c>
      <c r="E29" s="54" t="s">
        <v>64</v>
      </c>
    </row>
    <row r="30" customFormat="false" ht="18" hidden="false" customHeight="true" outlineLevel="0" collapsed="false">
      <c r="B30" s="5" t="s">
        <v>97</v>
      </c>
      <c r="C30" s="66" t="n">
        <v>0.52</v>
      </c>
      <c r="D30" s="67" t="n">
        <v>0.61</v>
      </c>
      <c r="E30" s="5" t="s">
        <v>98</v>
      </c>
    </row>
    <row r="31" customFormat="false" ht="18" hidden="false" customHeight="true" outlineLevel="0" collapsed="false">
      <c r="B31" s="5" t="s">
        <v>99</v>
      </c>
      <c r="C31" s="66" t="n">
        <v>0.38</v>
      </c>
      <c r="D31" s="67" t="n">
        <v>0.45</v>
      </c>
      <c r="E31" s="5" t="s">
        <v>98</v>
      </c>
    </row>
    <row r="32" customFormat="false" ht="18" hidden="false" customHeight="true" outlineLevel="0" collapsed="false">
      <c r="B32" s="5" t="s">
        <v>100</v>
      </c>
      <c r="C32" s="66" t="n">
        <v>-5.8</v>
      </c>
      <c r="D32" s="67" t="n">
        <v>-6.9</v>
      </c>
      <c r="E32" s="5" t="s">
        <v>101</v>
      </c>
    </row>
    <row r="33" customFormat="false" ht="18" hidden="false" customHeight="true" outlineLevel="0" collapsed="false">
      <c r="B33" s="5" t="s">
        <v>102</v>
      </c>
      <c r="C33" s="66" t="n">
        <v>0.22</v>
      </c>
      <c r="D33" s="67" t="n">
        <v>0.18</v>
      </c>
      <c r="E33" s="5" t="s">
        <v>68</v>
      </c>
    </row>
    <row r="34" customFormat="false" ht="18" hidden="false" customHeight="true" outlineLevel="0" collapsed="false">
      <c r="B34" s="5" t="s">
        <v>103</v>
      </c>
      <c r="C34" s="66" t="n">
        <v>0.063</v>
      </c>
      <c r="D34" s="67" t="n">
        <v>0.075</v>
      </c>
      <c r="E34" s="5" t="s">
        <v>104</v>
      </c>
    </row>
    <row r="35" customFormat="false" ht="18" hidden="false" customHeight="true" outlineLevel="0" collapsed="false">
      <c r="B35" s="5" t="s">
        <v>105</v>
      </c>
      <c r="C35" s="66" t="n">
        <v>0.012</v>
      </c>
      <c r="D35" s="67" t="n">
        <v>0.018</v>
      </c>
      <c r="E35" s="5" t="s">
        <v>106</v>
      </c>
    </row>
    <row r="36" customFormat="false" ht="18" hidden="false" customHeight="true" outlineLevel="0" collapsed="false">
      <c r="B36" s="5" t="s">
        <v>107</v>
      </c>
      <c r="C36" s="66" t="n">
        <v>0.68</v>
      </c>
      <c r="D36" s="67" t="n">
        <v>0.68</v>
      </c>
      <c r="E36" s="5" t="s">
        <v>108</v>
      </c>
    </row>
    <row r="37" customFormat="false" ht="18" hidden="false" customHeight="true" outlineLevel="0" collapsed="false">
      <c r="B37" s="5" t="s">
        <v>109</v>
      </c>
      <c r="C37" s="66" t="n">
        <v>0.81</v>
      </c>
      <c r="D37" s="67" t="n">
        <v>0.84</v>
      </c>
      <c r="E37" s="5" t="s">
        <v>110</v>
      </c>
    </row>
    <row r="38" customFormat="false" ht="18" hidden="false" customHeight="true" outlineLevel="0" collapsed="false">
      <c r="B38" s="5" t="s">
        <v>111</v>
      </c>
      <c r="C38" s="66" t="n">
        <v>0.75</v>
      </c>
      <c r="D38" s="67" t="n">
        <v>0.82</v>
      </c>
      <c r="E38" s="5" t="s">
        <v>112</v>
      </c>
    </row>
    <row r="39" customFormat="false" ht="18" hidden="false" customHeight="true" outlineLevel="0" collapsed="false">
      <c r="B39" s="5" t="s">
        <v>113</v>
      </c>
      <c r="C39" s="66" t="n">
        <v>0.6</v>
      </c>
      <c r="D39" s="67" t="n">
        <v>0.7</v>
      </c>
      <c r="E39" s="5" t="s">
        <v>112</v>
      </c>
    </row>
    <row r="40" customFormat="false" ht="7.5" hidden="false" customHeight="true" outlineLevel="0" collapsed="false"/>
    <row r="41" customFormat="false" ht="19.5" hidden="false" customHeight="true" outlineLevel="0" collapsed="false">
      <c r="B41" s="29" t="s">
        <v>114</v>
      </c>
      <c r="C41" s="29"/>
      <c r="D41" s="29"/>
      <c r="E41" s="29"/>
    </row>
    <row r="42" customFormat="false" ht="30" hidden="false" customHeight="true" outlineLevel="0" collapsed="false">
      <c r="B42" s="54" t="s">
        <v>63</v>
      </c>
      <c r="C42" s="54" t="s">
        <v>35</v>
      </c>
      <c r="D42" s="54" t="s">
        <v>36</v>
      </c>
      <c r="E42" s="54" t="s">
        <v>64</v>
      </c>
    </row>
    <row r="43" customFormat="false" ht="18" hidden="false" customHeight="true" outlineLevel="0" collapsed="false">
      <c r="B43" s="61" t="s">
        <v>115</v>
      </c>
      <c r="C43" s="68" t="n">
        <v>30000</v>
      </c>
      <c r="D43" s="68" t="n">
        <v>30000</v>
      </c>
      <c r="E43" s="5" t="s">
        <v>116</v>
      </c>
    </row>
    <row r="44" customFormat="false" ht="18" hidden="false" customHeight="true" outlineLevel="0" collapsed="false">
      <c r="B44" s="5" t="s">
        <v>117</v>
      </c>
      <c r="C44" s="69" t="n">
        <v>0.035</v>
      </c>
      <c r="D44" s="70" t="n">
        <v>0.035</v>
      </c>
      <c r="E44" s="5" t="s">
        <v>118</v>
      </c>
    </row>
    <row r="45" customFormat="false" ht="18" hidden="false" customHeight="true" outlineLevel="0" collapsed="false">
      <c r="B45" s="5" t="s">
        <v>119</v>
      </c>
      <c r="C45" s="69" t="n">
        <v>0.025</v>
      </c>
      <c r="D45" s="70" t="n">
        <v>0.025</v>
      </c>
      <c r="E45" s="5" t="s">
        <v>120</v>
      </c>
    </row>
    <row r="46" customFormat="false" ht="18" hidden="false" customHeight="true" outlineLevel="0" collapsed="false">
      <c r="B46" s="5" t="s">
        <v>121</v>
      </c>
      <c r="C46" s="71" t="n">
        <v>180</v>
      </c>
      <c r="D46" s="72" t="n">
        <v>180</v>
      </c>
      <c r="E46" s="5" t="s">
        <v>122</v>
      </c>
    </row>
    <row r="47" customFormat="false" ht="18" hidden="false" customHeight="true" outlineLevel="0" collapsed="false">
      <c r="B47" s="5" t="s">
        <v>123</v>
      </c>
      <c r="C47" s="55" t="n">
        <v>32</v>
      </c>
      <c r="D47" s="56" t="n">
        <v>32</v>
      </c>
      <c r="E47" s="5" t="s">
        <v>124</v>
      </c>
    </row>
    <row r="48" customFormat="false" ht="18" hidden="false" customHeight="true" outlineLevel="0" collapsed="false">
      <c r="B48" s="5" t="s">
        <v>125</v>
      </c>
      <c r="C48" s="69" t="n">
        <v>0.62</v>
      </c>
      <c r="D48" s="70" t="n">
        <v>0.68</v>
      </c>
      <c r="E48" s="5" t="s">
        <v>126</v>
      </c>
    </row>
    <row r="49" customFormat="false" ht="18" hidden="false" customHeight="true" outlineLevel="0" collapsed="false">
      <c r="B49" s="61" t="s">
        <v>127</v>
      </c>
      <c r="C49" s="68" t="n">
        <v>250000</v>
      </c>
      <c r="D49" s="68" t="n">
        <v>250000</v>
      </c>
      <c r="E49" s="5" t="s">
        <v>128</v>
      </c>
    </row>
    <row r="50" customFormat="false" ht="7.5" hidden="false" customHeight="true" outlineLevel="0" collapsed="false"/>
    <row r="51" customFormat="false" ht="31.5" hidden="false" customHeight="true" outlineLevel="0" collapsed="false">
      <c r="B51" s="49" t="s">
        <v>129</v>
      </c>
      <c r="C51" s="49"/>
      <c r="D51" s="49"/>
      <c r="E51" s="49"/>
    </row>
  </sheetData>
  <mergeCells count="7">
    <mergeCell ref="B2:F2"/>
    <mergeCell ref="B3:F3"/>
    <mergeCell ref="B6:E6"/>
    <mergeCell ref="B15:E15"/>
    <mergeCell ref="B28:E28"/>
    <mergeCell ref="B41:E41"/>
    <mergeCell ref="B51:E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4" min="3" style="1" width="20"/>
    <col collapsed="false" customWidth="true" hidden="false" outlineLevel="0" max="5" min="5" style="1" width="22"/>
    <col collapsed="false" customWidth="true" hidden="false" outlineLevel="0" max="6" min="6" style="1" width="28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73" t="s">
        <v>130</v>
      </c>
      <c r="C2" s="73"/>
      <c r="D2" s="73"/>
      <c r="E2" s="73"/>
      <c r="F2" s="73"/>
    </row>
    <row r="3" customFormat="false" ht="18" hidden="false" customHeight="true" outlineLevel="0" collapsed="false">
      <c r="B3" s="74" t="s">
        <v>131</v>
      </c>
      <c r="C3" s="74"/>
      <c r="D3" s="74"/>
      <c r="E3" s="74"/>
      <c r="F3" s="74"/>
    </row>
    <row r="4" customFormat="false" ht="7.5" hidden="false" customHeight="true" outlineLevel="0" collapsed="false"/>
    <row r="5" customFormat="false" ht="31.5" hidden="false" customHeight="true" outlineLevel="0" collapsed="false">
      <c r="B5" s="75" t="s">
        <v>132</v>
      </c>
      <c r="C5" s="76" t="s">
        <v>35</v>
      </c>
      <c r="D5" s="77" t="s">
        <v>36</v>
      </c>
      <c r="E5" s="75" t="s">
        <v>133</v>
      </c>
      <c r="F5" s="75" t="s">
        <v>134</v>
      </c>
    </row>
    <row r="6" customFormat="false" ht="19.5" hidden="false" customHeight="true" outlineLevel="0" collapsed="false">
      <c r="B6" s="29" t="s">
        <v>135</v>
      </c>
      <c r="C6" s="29"/>
      <c r="D6" s="29"/>
      <c r="E6" s="29"/>
    </row>
    <row r="7" customFormat="false" ht="19.5" hidden="false" customHeight="true" outlineLevel="0" collapsed="false">
      <c r="B7" s="5" t="s">
        <v>136</v>
      </c>
      <c r="C7" s="78" t="n">
        <f aca="false">Parametri!C8</f>
        <v>200</v>
      </c>
      <c r="D7" s="79" t="n">
        <f aca="false">Parametri!D8</f>
        <v>200</v>
      </c>
      <c r="E7" s="80" t="n">
        <f aca="false">D7-C7</f>
        <v>0</v>
      </c>
      <c r="F7" s="5" t="s">
        <v>137</v>
      </c>
    </row>
    <row r="8" customFormat="false" ht="19.5" hidden="false" customHeight="true" outlineLevel="0" collapsed="false">
      <c r="B8" s="5" t="s">
        <v>138</v>
      </c>
      <c r="C8" s="81" t="n">
        <f aca="false">Parametri!C26</f>
        <v>442.75</v>
      </c>
      <c r="D8" s="82" t="n">
        <f aca="false">Parametri!D26</f>
        <v>2731.25</v>
      </c>
      <c r="E8" s="83" t="n">
        <f aca="false">D8-C8</f>
        <v>2288.5</v>
      </c>
      <c r="F8" s="5" t="s">
        <v>139</v>
      </c>
    </row>
    <row r="9" customFormat="false" ht="19.5" hidden="false" customHeight="true" outlineLevel="0" collapsed="false">
      <c r="B9" s="5" t="s">
        <v>140</v>
      </c>
      <c r="C9" s="81" t="n">
        <f aca="false">Parametri!C25</f>
        <v>30</v>
      </c>
      <c r="D9" s="82" t="n">
        <f aca="false">Parametri!D25</f>
        <v>50</v>
      </c>
      <c r="E9" s="83" t="n">
        <f aca="false">D9-C9</f>
        <v>20</v>
      </c>
      <c r="F9" s="5" t="s">
        <v>141</v>
      </c>
    </row>
    <row r="10" customFormat="false" ht="19.5" hidden="false" customHeight="true" outlineLevel="0" collapsed="false">
      <c r="B10" s="84" t="s">
        <v>142</v>
      </c>
      <c r="C10" s="85" t="n">
        <f aca="false">C7*(C8+C9)</f>
        <v>94550</v>
      </c>
      <c r="D10" s="86" t="n">
        <f aca="false">D7*(D8+D9)</f>
        <v>556250</v>
      </c>
      <c r="E10" s="87" t="n">
        <f aca="false">D10-C10</f>
        <v>461700</v>
      </c>
      <c r="F10" s="5" t="s">
        <v>143</v>
      </c>
    </row>
    <row r="11" customFormat="false" ht="19.5" hidden="false" customHeight="true" outlineLevel="0" collapsed="false">
      <c r="B11" s="84" t="s">
        <v>144</v>
      </c>
      <c r="C11" s="85" t="n">
        <f aca="false">C7*C8*(1+Parametri!C45)</f>
        <v>90763.75</v>
      </c>
      <c r="D11" s="86" t="n">
        <f aca="false">D7*D8*(1+Parametri!D45)</f>
        <v>559906.25</v>
      </c>
      <c r="E11" s="87" t="n">
        <f aca="false">D11-C11</f>
        <v>469142.5</v>
      </c>
      <c r="F11" s="5" t="s">
        <v>145</v>
      </c>
    </row>
    <row r="12" customFormat="false" ht="19.5" hidden="false" customHeight="true" outlineLevel="0" collapsed="false">
      <c r="B12" s="84" t="s">
        <v>146</v>
      </c>
      <c r="C12" s="85" t="n">
        <f aca="false">C7*C8*(1+Parametri!C45)^2</f>
        <v>93032.84375</v>
      </c>
      <c r="D12" s="86" t="n">
        <f aca="false">D7*D8*(1+Parametri!D45)^2</f>
        <v>573903.90625</v>
      </c>
      <c r="E12" s="87" t="n">
        <f aca="false">D12-C12</f>
        <v>480871.0625</v>
      </c>
      <c r="F12" s="5" t="s">
        <v>147</v>
      </c>
    </row>
    <row r="13" customFormat="false" ht="7.5" hidden="false" customHeight="true" outlineLevel="0" collapsed="false"/>
    <row r="14" customFormat="false" ht="19.5" hidden="false" customHeight="true" outlineLevel="0" collapsed="false">
      <c r="B14" s="29" t="s">
        <v>148</v>
      </c>
      <c r="C14" s="29"/>
      <c r="D14" s="29"/>
      <c r="E14" s="29"/>
    </row>
    <row r="15" customFormat="false" ht="19.5" hidden="false" customHeight="true" outlineLevel="0" collapsed="false">
      <c r="B15" s="5" t="s">
        <v>149</v>
      </c>
      <c r="C15" s="78" t="n">
        <f aca="false">ROUND(Parametri!C8*Parametri!C30,0)</f>
        <v>104</v>
      </c>
      <c r="D15" s="79" t="n">
        <f aca="false">ROUND(Parametri!D8*Parametri!D30,0)</f>
        <v>122</v>
      </c>
      <c r="E15" s="80" t="n">
        <f aca="false">D15-C15</f>
        <v>18</v>
      </c>
      <c r="F15" s="5" t="s">
        <v>150</v>
      </c>
    </row>
    <row r="16" customFormat="false" ht="19.5" hidden="false" customHeight="true" outlineLevel="0" collapsed="false">
      <c r="B16" s="5" t="s">
        <v>151</v>
      </c>
      <c r="C16" s="78" t="n">
        <f aca="false">Parametri!C8-C15</f>
        <v>96</v>
      </c>
      <c r="D16" s="79" t="n">
        <f aca="false">Parametri!D8-D15</f>
        <v>78</v>
      </c>
      <c r="E16" s="80" t="n">
        <f aca="false">D16-C16</f>
        <v>-18</v>
      </c>
      <c r="F16" s="5" t="s">
        <v>152</v>
      </c>
    </row>
    <row r="17" customFormat="false" ht="19.5" hidden="false" customHeight="true" outlineLevel="0" collapsed="false">
      <c r="B17" s="5" t="s">
        <v>153</v>
      </c>
      <c r="C17" s="88" t="n">
        <f aca="false">C15*Parametri!C34</f>
        <v>6.552</v>
      </c>
      <c r="D17" s="89" t="n">
        <f aca="false">D15*Parametri!D34</f>
        <v>9.15</v>
      </c>
      <c r="E17" s="90" t="n">
        <f aca="false">D17-C17</f>
        <v>2.598</v>
      </c>
      <c r="F17" s="5" t="s">
        <v>154</v>
      </c>
    </row>
    <row r="18" customFormat="false" ht="19.5" hidden="false" customHeight="true" outlineLevel="0" collapsed="false">
      <c r="B18" s="5" t="s">
        <v>155</v>
      </c>
      <c r="C18" s="88" t="n">
        <f aca="false">C16*Parametri!C35</f>
        <v>1.152</v>
      </c>
      <c r="D18" s="89" t="n">
        <f aca="false">D16*Parametri!D35</f>
        <v>1.404</v>
      </c>
      <c r="E18" s="90" t="n">
        <f aca="false">D18-C18</f>
        <v>0.252</v>
      </c>
      <c r="F18" s="5" t="s">
        <v>156</v>
      </c>
    </row>
    <row r="19" customFormat="false" ht="19.5" hidden="false" customHeight="true" outlineLevel="0" collapsed="false">
      <c r="B19" s="84" t="s">
        <v>157</v>
      </c>
      <c r="C19" s="91" t="n">
        <f aca="false">C17+C18</f>
        <v>7.704</v>
      </c>
      <c r="D19" s="92" t="n">
        <f aca="false">D17+D18</f>
        <v>10.554</v>
      </c>
      <c r="E19" s="93" t="n">
        <f aca="false">D19-C19</f>
        <v>2.85</v>
      </c>
      <c r="F19" s="5" t="s">
        <v>158</v>
      </c>
    </row>
    <row r="20" customFormat="false" ht="19.5" hidden="false" customHeight="true" outlineLevel="0" collapsed="false">
      <c r="B20" s="84" t="s">
        <v>159</v>
      </c>
      <c r="C20" s="91" t="n">
        <f aca="false">C19*Parametri!C38</f>
        <v>5.778</v>
      </c>
      <c r="D20" s="92" t="n">
        <f aca="false">D19*Parametri!D38</f>
        <v>8.65428</v>
      </c>
      <c r="E20" s="93" t="n">
        <f aca="false">D20-C20</f>
        <v>2.87628</v>
      </c>
      <c r="F20" s="5" t="s">
        <v>160</v>
      </c>
    </row>
    <row r="21" customFormat="false" ht="19.5" hidden="false" customHeight="true" outlineLevel="0" collapsed="false">
      <c r="B21" s="84" t="s">
        <v>161</v>
      </c>
      <c r="C21" s="91" t="n">
        <f aca="false">C19*Parametri!C39</f>
        <v>4.6224</v>
      </c>
      <c r="D21" s="92" t="n">
        <f aca="false">D19*Parametri!D39</f>
        <v>7.3878</v>
      </c>
      <c r="E21" s="93" t="n">
        <f aca="false">D21-C21</f>
        <v>2.7654</v>
      </c>
      <c r="F21" s="5" t="s">
        <v>160</v>
      </c>
    </row>
    <row r="22" customFormat="false" ht="7.5" hidden="false" customHeight="true" outlineLevel="0" collapsed="false"/>
    <row r="23" customFormat="false" ht="19.5" hidden="false" customHeight="true" outlineLevel="0" collapsed="false">
      <c r="B23" s="29" t="s">
        <v>162</v>
      </c>
      <c r="C23" s="29"/>
      <c r="D23" s="29"/>
      <c r="E23" s="29"/>
    </row>
    <row r="24" customFormat="false" ht="19.5" hidden="false" customHeight="true" outlineLevel="0" collapsed="false">
      <c r="B24" s="5" t="s">
        <v>163</v>
      </c>
      <c r="C24" s="94" t="n">
        <f aca="false">D10-C10</f>
        <v>461700</v>
      </c>
      <c r="D24" s="7"/>
      <c r="E24" s="7"/>
      <c r="F24" s="5" t="s">
        <v>164</v>
      </c>
    </row>
    <row r="25" customFormat="false" ht="19.5" hidden="false" customHeight="true" outlineLevel="0" collapsed="false">
      <c r="B25" s="5" t="s">
        <v>165</v>
      </c>
      <c r="C25" s="94" t="n">
        <f aca="false">D11-C11</f>
        <v>469142.5</v>
      </c>
      <c r="D25" s="7"/>
      <c r="E25" s="7"/>
      <c r="F25" s="5" t="s">
        <v>164</v>
      </c>
    </row>
    <row r="26" customFormat="false" ht="19.5" hidden="false" customHeight="true" outlineLevel="0" collapsed="false">
      <c r="B26" s="5" t="s">
        <v>166</v>
      </c>
      <c r="C26" s="94" t="n">
        <f aca="false">D12-C12</f>
        <v>480871.0625</v>
      </c>
      <c r="D26" s="7"/>
      <c r="E26" s="7"/>
      <c r="F26" s="5" t="s">
        <v>164</v>
      </c>
    </row>
    <row r="27" customFormat="false" ht="19.5" hidden="false" customHeight="true" outlineLevel="0" collapsed="false">
      <c r="B27" s="5" t="s">
        <v>167</v>
      </c>
      <c r="C27" s="95" t="n">
        <f aca="false">D19-C19</f>
        <v>2.85</v>
      </c>
      <c r="D27" s="7"/>
      <c r="E27" s="7"/>
      <c r="F27" s="5" t="s">
        <v>164</v>
      </c>
    </row>
    <row r="28" customFormat="false" ht="19.5" hidden="false" customHeight="true" outlineLevel="0" collapsed="false">
      <c r="B28" s="5" t="s">
        <v>168</v>
      </c>
      <c r="C28" s="95" t="n">
        <f aca="false">D20-C20</f>
        <v>2.87628</v>
      </c>
      <c r="D28" s="7"/>
      <c r="E28" s="7"/>
      <c r="F28" s="5" t="s">
        <v>164</v>
      </c>
    </row>
    <row r="29" customFormat="false" ht="19.5" hidden="false" customHeight="true" outlineLevel="0" collapsed="false">
      <c r="B29" s="5" t="s">
        <v>169</v>
      </c>
      <c r="C29" s="95" t="n">
        <f aca="false">D21-C21</f>
        <v>2.7654</v>
      </c>
      <c r="D29" s="7"/>
      <c r="E29" s="7"/>
      <c r="F29" s="5" t="s">
        <v>164</v>
      </c>
    </row>
    <row r="30" customFormat="false" ht="7.5" hidden="false" customHeight="true" outlineLevel="0" collapsed="false"/>
    <row r="31" customFormat="false" ht="25.5" hidden="false" customHeight="true" outlineLevel="0" collapsed="false">
      <c r="B31" s="15" t="s">
        <v>170</v>
      </c>
      <c r="C31" s="96" t="n">
        <f aca="false">IFERROR(C24/C27,"N/A – ΔQALY=0")</f>
        <v>162000</v>
      </c>
      <c r="D31" s="97"/>
      <c r="E31" s="97"/>
      <c r="F31" s="61" t="s">
        <v>171</v>
      </c>
    </row>
    <row r="32" customFormat="false" ht="25.5" hidden="false" customHeight="true" outlineLevel="0" collapsed="false">
      <c r="B32" s="15" t="s">
        <v>172</v>
      </c>
      <c r="C32" s="96" t="n">
        <f aca="false">IFERROR((C24+C25)/(C27+C28),"N/A")</f>
        <v>162556.231969097</v>
      </c>
      <c r="D32" s="97"/>
      <c r="E32" s="97"/>
      <c r="F32" s="61" t="s">
        <v>173</v>
      </c>
    </row>
    <row r="33" customFormat="false" ht="25.5" hidden="false" customHeight="true" outlineLevel="0" collapsed="false">
      <c r="B33" s="15" t="s">
        <v>174</v>
      </c>
      <c r="C33" s="96" t="n">
        <f aca="false">IFERROR((C24+C25+C26)/(C27+C28+C29),"N/A")</f>
        <v>166246.674686281</v>
      </c>
      <c r="D33" s="97"/>
      <c r="E33" s="97"/>
      <c r="F33" s="61" t="s">
        <v>175</v>
      </c>
    </row>
    <row r="34" customFormat="false" ht="7.5" hidden="false" customHeight="true" outlineLevel="0" collapsed="false"/>
    <row r="35" customFormat="false" ht="19.5" hidden="false" customHeight="true" outlineLevel="0" collapsed="false">
      <c r="B35" s="29" t="s">
        <v>176</v>
      </c>
      <c r="C35" s="29"/>
      <c r="D35" s="29"/>
      <c r="E35" s="29"/>
    </row>
    <row r="36" customFormat="false" ht="21.75" hidden="false" customHeight="true" outlineLevel="0" collapsed="false">
      <c r="B36" s="5" t="s">
        <v>177</v>
      </c>
      <c r="C36" s="98" t="n">
        <f aca="false">Parametri!C43</f>
        <v>30000</v>
      </c>
      <c r="D36" s="7"/>
      <c r="E36" s="7"/>
      <c r="F36" s="5" t="s">
        <v>178</v>
      </c>
    </row>
    <row r="37" customFormat="false" ht="21.75" hidden="false" customHeight="true" outlineLevel="0" collapsed="false">
      <c r="B37" s="16" t="s">
        <v>179</v>
      </c>
      <c r="C37" s="99" t="str">
        <f aca="false">IF(ISNUMBER(C31),IF(C31&lt;Parametri!C43,"✓ CC COST-EFFECTIVE (Anno 1)",IF(C31&gt;0,"✗ CC NON cost-effective (Anno 1)","✓ iCBT DOMINA (più economico e migliore)")),"→ iCBT domina")</f>
        <v>✗ CC NON cost-effective (Anno 1)</v>
      </c>
      <c r="D37" s="7"/>
      <c r="E37" s="7"/>
      <c r="F37" s="5" t="s">
        <v>180</v>
      </c>
    </row>
    <row r="38" customFormat="false" ht="21.75" hidden="false" customHeight="true" outlineLevel="0" collapsed="false">
      <c r="B38" s="16" t="s">
        <v>181</v>
      </c>
      <c r="C38" s="99" t="str">
        <f aca="false">IF(ISNUMBER(C32),IF(C32&lt;Parametri!C43,"✓ CC COST-EFFECTIVE (Anno 2)",IF(C32&gt;0,"✗ CC NON cost-effective (Anno 2)","✓ iCBT DOMINA")),"→ iCBT domina")</f>
        <v>✗ CC NON cost-effective (Anno 2)</v>
      </c>
      <c r="D38" s="7"/>
      <c r="E38" s="7"/>
      <c r="F38" s="5" t="s">
        <v>173</v>
      </c>
    </row>
    <row r="39" customFormat="false" ht="21.75" hidden="false" customHeight="true" outlineLevel="0" collapsed="false">
      <c r="B39" s="16" t="s">
        <v>182</v>
      </c>
      <c r="C39" s="99" t="str">
        <f aca="false">IF(ISNUMBER(C33),IF(C33&lt;Parametri!C43,"✓ CC COST-EFFECTIVE (Anno 3)",IF(C33&gt;0,"✗ CC NON cost-effective (Anno 3)","✓ iCBT DOMINA")),"→ iCBT domina")</f>
        <v>✗ CC NON cost-effective (Anno 3)</v>
      </c>
      <c r="D39" s="7"/>
      <c r="E39" s="7"/>
      <c r="F39" s="5" t="s">
        <v>175</v>
      </c>
    </row>
  </sheetData>
  <mergeCells count="6">
    <mergeCell ref="B2:F2"/>
    <mergeCell ref="B3:F3"/>
    <mergeCell ref="B6:E6"/>
    <mergeCell ref="B14:E14"/>
    <mergeCell ref="B23:E23"/>
    <mergeCell ref="B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6" min="3" style="1" width="18"/>
    <col collapsed="false" customWidth="true" hidden="false" outlineLevel="0" max="7" min="7" style="1" width="22"/>
    <col collapsed="false" customWidth="true" hidden="false" outlineLevel="0" max="10" min="8" style="1" width="18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73" t="s">
        <v>183</v>
      </c>
      <c r="C2" s="73"/>
      <c r="D2" s="73"/>
      <c r="E2" s="73"/>
      <c r="F2" s="73"/>
      <c r="G2" s="73"/>
    </row>
    <row r="3" customFormat="false" ht="18" hidden="false" customHeight="true" outlineLevel="0" collapsed="false">
      <c r="B3" s="74" t="s">
        <v>184</v>
      </c>
      <c r="C3" s="74"/>
      <c r="D3" s="74"/>
      <c r="E3" s="74"/>
      <c r="F3" s="74"/>
      <c r="G3" s="74"/>
    </row>
    <row r="4" customFormat="false" ht="7.5" hidden="false" customHeight="true" outlineLevel="0" collapsed="false"/>
    <row r="5" customFormat="false" ht="31.5" hidden="false" customHeight="true" outlineLevel="0" collapsed="false">
      <c r="B5" s="75" t="s">
        <v>185</v>
      </c>
      <c r="C5" s="76" t="s">
        <v>186</v>
      </c>
      <c r="D5" s="100" t="s">
        <v>187</v>
      </c>
      <c r="E5" s="101" t="s">
        <v>188</v>
      </c>
      <c r="F5" s="77" t="s">
        <v>189</v>
      </c>
      <c r="G5" s="102" t="s">
        <v>190</v>
      </c>
      <c r="H5" s="103" t="s">
        <v>191</v>
      </c>
      <c r="I5" s="54" t="s">
        <v>192</v>
      </c>
      <c r="J5" s="54" t="s">
        <v>193</v>
      </c>
    </row>
    <row r="6" customFormat="false" ht="19.5" hidden="false" customHeight="true" outlineLevel="0" collapsed="false">
      <c r="B6" s="29" t="s">
        <v>194</v>
      </c>
      <c r="C6" s="29"/>
      <c r="D6" s="29"/>
      <c r="E6" s="29"/>
      <c r="F6" s="29"/>
      <c r="G6" s="29"/>
      <c r="H6" s="29"/>
      <c r="I6" s="29"/>
    </row>
    <row r="7" customFormat="false" ht="19.5" hidden="false" customHeight="true" outlineLevel="0" collapsed="false">
      <c r="B7" s="84" t="s">
        <v>195</v>
      </c>
      <c r="C7" s="85" t="n">
        <f aca="false">'Analisi ICER'!C10</f>
        <v>94550</v>
      </c>
      <c r="D7" s="85" t="n">
        <f aca="false">'Analisi ICER'!C11</f>
        <v>90763.75</v>
      </c>
      <c r="E7" s="85" t="n">
        <f aca="false">'Analisi ICER'!C12</f>
        <v>93032.84375</v>
      </c>
      <c r="F7" s="86" t="n">
        <f aca="false">'Analisi ICER'!D10</f>
        <v>556250</v>
      </c>
      <c r="G7" s="86" t="n">
        <f aca="false">'Analisi ICER'!D11</f>
        <v>559906.25</v>
      </c>
      <c r="H7" s="86" t="n">
        <f aca="false">'Analisi ICER'!D12</f>
        <v>573903.90625</v>
      </c>
      <c r="I7" s="87" t="n">
        <f aca="false">F7-C7</f>
        <v>461700</v>
      </c>
      <c r="J7" s="87" t="n">
        <f aca="false">H7-E7</f>
        <v>480871.0625</v>
      </c>
    </row>
    <row r="8" customFormat="false" ht="19.5" hidden="false" customHeight="true" outlineLevel="0" collapsed="false">
      <c r="B8" s="5" t="s">
        <v>196</v>
      </c>
      <c r="C8" s="104" t="n">
        <f aca="false">C7</f>
        <v>94550</v>
      </c>
      <c r="D8" s="104" t="s">
        <v>197</v>
      </c>
      <c r="E8" s="104" t="n">
        <v>0</v>
      </c>
      <c r="F8" s="105" t="n">
        <f aca="false">F7</f>
        <v>556250</v>
      </c>
      <c r="G8" s="105" t="s">
        <v>197</v>
      </c>
      <c r="H8" s="105" t="n">
        <v>0</v>
      </c>
      <c r="I8" s="106" t="n">
        <f aca="false">F8-C8</f>
        <v>461700</v>
      </c>
      <c r="J8" s="106" t="n">
        <f aca="false">IFERROR(H8-E8,0)</f>
        <v>0</v>
      </c>
    </row>
    <row r="9" customFormat="false" ht="19.5" hidden="false" customHeight="true" outlineLevel="0" collapsed="false">
      <c r="B9" s="5" t="s">
        <v>198</v>
      </c>
      <c r="C9" s="104" t="n">
        <f aca="false">C7</f>
        <v>94550</v>
      </c>
      <c r="D9" s="104" t="n">
        <f aca="false">C7+D7</f>
        <v>185313.75</v>
      </c>
      <c r="E9" s="104" t="n">
        <v>0</v>
      </c>
      <c r="F9" s="105" t="n">
        <f aca="false">F7</f>
        <v>556250</v>
      </c>
      <c r="G9" s="105" t="n">
        <f aca="false">F7+G7</f>
        <v>1116156.25</v>
      </c>
      <c r="H9" s="105" t="n">
        <v>0</v>
      </c>
      <c r="I9" s="106" t="n">
        <f aca="false">F9-C9</f>
        <v>461700</v>
      </c>
      <c r="J9" s="106" t="n">
        <f aca="false">IFERROR(H9-E9,0)</f>
        <v>0</v>
      </c>
    </row>
    <row r="10" customFormat="false" ht="19.5" hidden="false" customHeight="true" outlineLevel="0" collapsed="false">
      <c r="B10" s="84" t="s">
        <v>199</v>
      </c>
      <c r="C10" s="107" t="n">
        <f aca="false">C7</f>
        <v>94550</v>
      </c>
      <c r="D10" s="107" t="n">
        <f aca="false">C7+D7</f>
        <v>185313.75</v>
      </c>
      <c r="E10" s="107" t="n">
        <f aca="false">C7+D7+E7</f>
        <v>278346.59375</v>
      </c>
      <c r="F10" s="108" t="n">
        <f aca="false">F7</f>
        <v>556250</v>
      </c>
      <c r="G10" s="108" t="n">
        <f aca="false">F7+G7</f>
        <v>1116156.25</v>
      </c>
      <c r="H10" s="108" t="n">
        <f aca="false">F7+G7+H7</f>
        <v>1690060.15625</v>
      </c>
      <c r="I10" s="87" t="n">
        <f aca="false">F10-C10</f>
        <v>461700</v>
      </c>
      <c r="J10" s="87" t="n">
        <f aca="false">H10-E10</f>
        <v>1411713.5625</v>
      </c>
    </row>
    <row r="11" customFormat="false" ht="7.5" hidden="false" customHeight="true" outlineLevel="0" collapsed="false"/>
    <row r="12" customFormat="false" ht="19.5" hidden="false" customHeight="true" outlineLevel="0" collapsed="false">
      <c r="B12" s="29" t="s">
        <v>200</v>
      </c>
      <c r="C12" s="29"/>
      <c r="D12" s="29"/>
      <c r="E12" s="29"/>
      <c r="F12" s="29"/>
      <c r="G12" s="29"/>
      <c r="H12" s="29"/>
      <c r="I12" s="29"/>
    </row>
    <row r="13" customFormat="false" ht="19.5" hidden="false" customHeight="true" outlineLevel="0" collapsed="false">
      <c r="B13" s="5" t="s">
        <v>201</v>
      </c>
      <c r="C13" s="98" t="n">
        <f aca="false">'Analisi ICER'!C19*Parametri!C43</f>
        <v>231120</v>
      </c>
      <c r="D13" s="98" t="n">
        <f aca="false">'Analisi ICER'!C20*Parametri!C43</f>
        <v>173340</v>
      </c>
      <c r="E13" s="98" t="n">
        <f aca="false">'Analisi ICER'!C21*Parametri!C43</f>
        <v>138672</v>
      </c>
      <c r="F13" s="109" t="n">
        <f aca="false">'Analisi ICER'!D19*Parametri!D43</f>
        <v>316620</v>
      </c>
      <c r="G13" s="109" t="n">
        <f aca="false">'Analisi ICER'!D20*Parametri!D43</f>
        <v>259628.4</v>
      </c>
      <c r="H13" s="109" t="n">
        <f aca="false">'Analisi ICER'!D21*Parametri!D43</f>
        <v>221634</v>
      </c>
      <c r="I13" s="106" t="n">
        <f aca="false">F13-C13</f>
        <v>85500</v>
      </c>
      <c r="J13" s="106" t="n">
        <f aca="false">H13-E13</f>
        <v>82962</v>
      </c>
    </row>
    <row r="14" customFormat="false" ht="19.5" hidden="false" customHeight="true" outlineLevel="0" collapsed="false">
      <c r="B14" s="5" t="s">
        <v>202</v>
      </c>
      <c r="C14" s="98" t="n">
        <f aca="false">ROUND(Parametri!C8*Parametri!C30,0)*Parametri!C47*Parametri!C46*Parametri!C48</f>
        <v>371404.8</v>
      </c>
      <c r="D14" s="98" t="n">
        <f aca="false">ROUND(Parametri!C8*Parametri!C30,0)*Parametri!C47*Parametri!C46*Parametri!C48*(1+Parametri!C45)</f>
        <v>380689.92</v>
      </c>
      <c r="E14" s="98" t="n">
        <f aca="false">ROUND(Parametri!C8*Parametri!C30,0)*Parametri!C47*Parametri!C46*Parametri!C48*(1+Parametri!C45)^2</f>
        <v>390207.168</v>
      </c>
      <c r="F14" s="109" t="n">
        <f aca="false">ROUND(Parametri!D8*Parametri!D30,0)*Parametri!D47*Parametri!D46*Parametri!D48</f>
        <v>477849.6</v>
      </c>
      <c r="G14" s="109" t="n">
        <f aca="false">ROUND(Parametri!D8*Parametri!D30,0)*Parametri!D47*Parametri!D46*Parametri!D48*(1+Parametri!D45)</f>
        <v>489795.84</v>
      </c>
      <c r="H14" s="109" t="n">
        <f aca="false">ROUND(Parametri!D8*Parametri!D30,0)*Parametri!D47*Parametri!D46*Parametri!D48*(1+Parametri!D45)^2</f>
        <v>502040.736</v>
      </c>
      <c r="I14" s="106" t="n">
        <f aca="false">F14-C14</f>
        <v>106444.8</v>
      </c>
      <c r="J14" s="106" t="n">
        <f aca="false">H14-E14</f>
        <v>111833.568</v>
      </c>
    </row>
    <row r="15" customFormat="false" ht="21.75" hidden="false" customHeight="true" outlineLevel="0" collapsed="false">
      <c r="B15" s="84" t="s">
        <v>203</v>
      </c>
      <c r="C15" s="107" t="n">
        <f aca="false">SUM(C13:C14)</f>
        <v>602524.8</v>
      </c>
      <c r="D15" s="107" t="n">
        <f aca="false">SUM(D13:D14)</f>
        <v>554029.92</v>
      </c>
      <c r="E15" s="107" t="n">
        <f aca="false">SUM(E13:E14)</f>
        <v>528879.168</v>
      </c>
      <c r="F15" s="108" t="n">
        <f aca="false">SUM(F13:F14)</f>
        <v>794469.6</v>
      </c>
      <c r="G15" s="108" t="n">
        <f aca="false">SUM(G13:G14)</f>
        <v>749424.24</v>
      </c>
      <c r="H15" s="108" t="n">
        <f aca="false">SUM(H13:H14)</f>
        <v>723674.736</v>
      </c>
      <c r="I15" s="87" t="n">
        <f aca="false">F15-C15</f>
        <v>191944.8</v>
      </c>
      <c r="J15" s="87" t="n">
        <f aca="false">H15-E15</f>
        <v>194795.568</v>
      </c>
    </row>
    <row r="16" customFormat="false" ht="7.5" hidden="false" customHeight="true" outlineLevel="0" collapsed="false"/>
    <row r="17" customFormat="false" ht="19.5" hidden="false" customHeight="true" outlineLevel="0" collapsed="false">
      <c r="B17" s="29" t="s">
        <v>204</v>
      </c>
      <c r="C17" s="29"/>
      <c r="D17" s="29"/>
      <c r="E17" s="29"/>
      <c r="F17" s="29"/>
      <c r="G17" s="29"/>
      <c r="H17" s="29"/>
      <c r="I17" s="29"/>
    </row>
    <row r="18" customFormat="false" ht="21.75" hidden="false" customHeight="true" outlineLevel="0" collapsed="false">
      <c r="B18" s="15" t="s">
        <v>205</v>
      </c>
      <c r="C18" s="96" t="n">
        <f aca="false">C15-C7</f>
        <v>507974.8</v>
      </c>
      <c r="D18" s="97"/>
      <c r="E18" s="97"/>
      <c r="F18" s="96" t="n">
        <f aca="false">F15-F7</f>
        <v>238219.6</v>
      </c>
      <c r="G18" s="97"/>
      <c r="H18" s="97"/>
      <c r="I18" s="87" t="n">
        <f aca="false">F18-C18</f>
        <v>-269755.2</v>
      </c>
      <c r="J18" s="87" t="n">
        <f aca="false">H18-E18</f>
        <v>0</v>
      </c>
    </row>
    <row r="19" customFormat="false" ht="21.75" hidden="false" customHeight="true" outlineLevel="0" collapsed="false">
      <c r="B19" s="15" t="s">
        <v>206</v>
      </c>
      <c r="C19" s="110" t="str">
        <f aca="false">IFERROR((C15+D15)-(C8+D8),"N/A")</f>
        <v>N/A</v>
      </c>
      <c r="D19" s="97"/>
      <c r="E19" s="97"/>
      <c r="F19" s="110" t="str">
        <f aca="false">IFERROR((F15+G15)-(F8+G8),"N/A")</f>
        <v>N/A</v>
      </c>
      <c r="G19" s="97"/>
      <c r="H19" s="97"/>
      <c r="I19" s="106" t="str">
        <f aca="false">IFERROR(F19-C19,"N/A")</f>
        <v>N/A</v>
      </c>
      <c r="J19" s="87" t="n">
        <f aca="false">H19-E19</f>
        <v>0</v>
      </c>
    </row>
    <row r="20" customFormat="false" ht="21.75" hidden="false" customHeight="true" outlineLevel="0" collapsed="false">
      <c r="B20" s="15" t="s">
        <v>207</v>
      </c>
      <c r="C20" s="110" t="n">
        <f aca="false">IFERROR((C15+D15+E15)-(C9+D9+E9),"N/A")</f>
        <v>1405570.138</v>
      </c>
      <c r="D20" s="97"/>
      <c r="E20" s="97"/>
      <c r="F20" s="110" t="n">
        <f aca="false">IFERROR((F15+G15+H15)-(F9+G9+H9),"N/A")</f>
        <v>595162.326</v>
      </c>
      <c r="G20" s="97"/>
      <c r="H20" s="97"/>
      <c r="I20" s="106" t="n">
        <f aca="false">IFERROR(F20-C20,"N/A")</f>
        <v>-810407.812</v>
      </c>
      <c r="J20" s="87" t="n">
        <f aca="false">H20-E20</f>
        <v>0</v>
      </c>
    </row>
    <row r="21" customFormat="false" ht="21.75" hidden="false" customHeight="true" outlineLevel="0" collapsed="false">
      <c r="B21" s="15" t="s">
        <v>208</v>
      </c>
      <c r="C21" s="111" t="n">
        <f aca="false">IFERROR((C15-C7)/C7,"N/A")</f>
        <v>5.37255208884188</v>
      </c>
      <c r="D21" s="97"/>
      <c r="E21" s="97"/>
      <c r="F21" s="111" t="n">
        <f aca="false">IFERROR((F15-F7)/F7,"N/A")</f>
        <v>0.42825995505618</v>
      </c>
      <c r="G21" s="97"/>
      <c r="H21" s="97"/>
      <c r="I21" s="112" t="n">
        <f aca="false">F21-C21</f>
        <v>-4.9442921337857</v>
      </c>
      <c r="J21" s="112" t="n">
        <f aca="false">H21-E21</f>
        <v>0</v>
      </c>
    </row>
    <row r="22" customFormat="false" ht="21.75" hidden="false" customHeight="true" outlineLevel="0" collapsed="false">
      <c r="B22" s="15" t="s">
        <v>209</v>
      </c>
      <c r="C22" s="111" t="str">
        <f aca="false">IFERROR(((C15+D15)-(C8+D8))/(C8+D8),"N/A")</f>
        <v>N/A</v>
      </c>
      <c r="D22" s="97"/>
      <c r="E22" s="97"/>
      <c r="F22" s="111" t="str">
        <f aca="false">IFERROR(((F15+G15)-(F8+G8))/(F8+G8),"N/A")</f>
        <v>N/A</v>
      </c>
      <c r="G22" s="97"/>
      <c r="H22" s="97"/>
      <c r="I22" s="113" t="str">
        <f aca="false">IFERROR(F22-C22,"N/A")</f>
        <v>N/A</v>
      </c>
      <c r="J22" s="112" t="n">
        <f aca="false">H22-E22</f>
        <v>0</v>
      </c>
    </row>
    <row r="23" customFormat="false" ht="21.75" hidden="false" customHeight="true" outlineLevel="0" collapsed="false">
      <c r="B23" s="15" t="s">
        <v>210</v>
      </c>
      <c r="C23" s="111" t="n">
        <f aca="false">IFERROR(((C15+D15+E15)-(C9+D9+E9))/(C9+D9+E9),"N/A")</f>
        <v>5.02233725518221</v>
      </c>
      <c r="D23" s="97"/>
      <c r="E23" s="97"/>
      <c r="F23" s="111" t="n">
        <f aca="false">IFERROR(((F15+G15+H15)-(F9+G9+H9))/(F9+G9+H9),"N/A")</f>
        <v>0.355871861875666</v>
      </c>
      <c r="G23" s="97"/>
      <c r="H23" s="97"/>
      <c r="I23" s="113" t="n">
        <f aca="false">IFERROR(F23-C23,"N/A")</f>
        <v>-4.66646539330654</v>
      </c>
      <c r="J23" s="112" t="n">
        <f aca="false">H23-E23</f>
        <v>0</v>
      </c>
    </row>
    <row r="24" customFormat="false" ht="21.75" hidden="false" customHeight="true" outlineLevel="0" collapsed="false">
      <c r="B24" s="15" t="s">
        <v>211</v>
      </c>
      <c r="C24" s="114" t="n">
        <f aca="false">IFERROR(C7/(C15/12),"N/A")</f>
        <v>1.88307601612415</v>
      </c>
      <c r="D24" s="97"/>
      <c r="E24" s="97"/>
      <c r="F24" s="114" t="n">
        <f aca="false">IFERROR(F7/(F15/12),"N/A")</f>
        <v>8.40183186367358</v>
      </c>
      <c r="G24" s="97"/>
      <c r="H24" s="97"/>
      <c r="I24" s="115" t="n">
        <f aca="false">F24-C24</f>
        <v>6.51875584754943</v>
      </c>
      <c r="J24" s="115" t="n">
        <f aca="false">H24-E24</f>
        <v>0</v>
      </c>
    </row>
  </sheetData>
  <mergeCells count="5">
    <mergeCell ref="B2:G2"/>
    <mergeCell ref="B3:G3"/>
    <mergeCell ref="B6:I6"/>
    <mergeCell ref="B12:I12"/>
    <mergeCell ref="B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8" min="3" style="1" width="16"/>
    <col collapsed="false" customWidth="true" hidden="false" outlineLevel="0" max="9" min="9" style="1" width="24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73" t="s">
        <v>212</v>
      </c>
      <c r="C2" s="73"/>
      <c r="D2" s="73"/>
      <c r="E2" s="73"/>
      <c r="F2" s="73"/>
      <c r="G2" s="73"/>
      <c r="H2" s="73"/>
      <c r="I2" s="73"/>
    </row>
    <row r="3" customFormat="false" ht="18" hidden="false" customHeight="true" outlineLevel="0" collapsed="false">
      <c r="B3" s="74" t="s">
        <v>213</v>
      </c>
      <c r="C3" s="74"/>
      <c r="D3" s="74"/>
      <c r="E3" s="74"/>
      <c r="F3" s="74"/>
      <c r="G3" s="74"/>
      <c r="H3" s="74"/>
      <c r="I3" s="74"/>
    </row>
    <row r="4" customFormat="false" ht="7.5" hidden="false" customHeight="true" outlineLevel="0" collapsed="false"/>
    <row r="5" customFormat="false" ht="19.5" hidden="false" customHeight="true" outlineLevel="0" collapsed="false">
      <c r="B5" s="29" t="s">
        <v>214</v>
      </c>
      <c r="C5" s="29"/>
      <c r="D5" s="29"/>
      <c r="E5" s="29"/>
      <c r="F5" s="29"/>
      <c r="G5" s="29"/>
      <c r="H5" s="29"/>
    </row>
    <row r="6" customFormat="false" ht="36" hidden="false" customHeight="true" outlineLevel="0" collapsed="false">
      <c r="B6" s="75" t="s">
        <v>63</v>
      </c>
      <c r="C6" s="75" t="s">
        <v>215</v>
      </c>
      <c r="D6" s="77" t="s">
        <v>216</v>
      </c>
      <c r="E6" s="116" t="s">
        <v>217</v>
      </c>
      <c r="F6" s="54" t="s">
        <v>218</v>
      </c>
      <c r="G6" s="76" t="s">
        <v>219</v>
      </c>
      <c r="H6" s="101" t="s">
        <v>220</v>
      </c>
      <c r="I6" s="75" t="s">
        <v>221</v>
      </c>
    </row>
    <row r="7" customFormat="false" ht="19.5" hidden="false" customHeight="true" outlineLevel="0" collapsed="false">
      <c r="B7" s="5" t="s">
        <v>222</v>
      </c>
      <c r="C7" s="88" t="n">
        <f aca="false">Parametri!C26</f>
        <v>442.75</v>
      </c>
      <c r="D7" s="105" t="n">
        <f aca="false">IFERROR(((Parametri!D8*1)*(Parametri!D26*1+Parametri!D25)-(Parametri!C8*1)*(Parametri!C26*0.6+Parametri!C25))/((Parametri!D8*1)*(ROUND((Parametri!D8*1)*(Parametri!D30*1)/(Parametri!D8*1),0)*(Parametri!D34*1)+(ROUND((Parametri!D8*1),0)-ROUND((Parametri!D8*1)*(Parametri!D30*1),0))*(Parametri!D35))-(Parametri!C8*1)*(ROUND((Parametri!C8*1)*(Parametri!C30*1)/(Parametri!C8*1),0)*(Parametri!C34*1)+(ROUND((Parametri!C8*1),0)-ROUND((Parametri!C8*1)*(Parametri!C30*1),0))*(Parametri!C35))),"N/A")</f>
        <v>9415.15151515153</v>
      </c>
      <c r="E7" s="105" t="n">
        <f aca="false">IFERROR(((Parametri!D8*1)*(Parametri!D26*1+Parametri!D25)-(Parametri!C8*1)*(Parametri!C26*0.8+Parametri!C25))/((Parametri!D8*1)*(ROUND((Parametri!D8*1)*(Parametri!D30*1)/(Parametri!D8*1),0)*(Parametri!D34*1)+(ROUND((Parametri!D8*1),0)-ROUND((Parametri!D8*1)*(Parametri!D30*1),0))*(Parametri!D35))-(Parametri!C8*1)*(ROUND((Parametri!C8*1)*(Parametri!C30*1)/(Parametri!C8*1),0)*(Parametri!C34*1)+(ROUND((Parametri!C8*1),0)-ROUND((Parametri!C8*1)*(Parametri!C30*1),0))*(Parametri!C35))),"N/A")</f>
        <v>9079.73484848486</v>
      </c>
      <c r="F7" s="110" t="n">
        <f aca="false">IFERROR(((Parametri!D8*1)*(Parametri!D26*1+Parametri!D25)-(Parametri!C8*1)*(Parametri!C26*1+Parametri!C25))/((Parametri!D8*1)*(ROUND((Parametri!D8*1)*(Parametri!D30*1)/(Parametri!D8*1),0)*(Parametri!D34*1)+(ROUND((Parametri!D8*1),0)-ROUND((Parametri!D8*1)*(Parametri!D30*1),0))*(Parametri!D35))-(Parametri!C8*1)*(ROUND((Parametri!C8*1)*(Parametri!C30*1)/(Parametri!C8*1),0)*(Parametri!C34*1)+(ROUND((Parametri!C8*1),0)-ROUND((Parametri!C8*1)*(Parametri!C30*1),0))*(Parametri!C35))),"N/A")</f>
        <v>8744.3181818182</v>
      </c>
      <c r="G7" s="104" t="n">
        <f aca="false">IFERROR(((Parametri!D8*1)*(Parametri!D26*1+Parametri!D25)-(Parametri!C8*1)*(Parametri!C26*1.2+Parametri!C25))/((Parametri!D8*1)*(ROUND((Parametri!D8*1)*(Parametri!D30*1)/(Parametri!D8*1),0)*(Parametri!D34*1)+(ROUND((Parametri!D8*1),0)-ROUND((Parametri!D8*1)*(Parametri!D30*1),0))*(Parametri!D35))-(Parametri!C8*1)*(ROUND((Parametri!C8*1)*(Parametri!C30*1)/(Parametri!C8*1),0)*(Parametri!C34*1)+(ROUND((Parametri!C8*1),0)-ROUND((Parametri!C8*1)*(Parametri!C30*1),0))*(Parametri!C35))),"N/A")</f>
        <v>8408.90151515153</v>
      </c>
      <c r="H7" s="104" t="n">
        <f aca="false">IFERROR(((Parametri!D8*1)*(Parametri!D26*1+Parametri!D25)-(Parametri!C8*1)*(Parametri!C26*1.4+Parametri!C25))/((Parametri!D8*1)*(ROUND((Parametri!D8*1)*(Parametri!D30*1)/(Parametri!D8*1),0)*(Parametri!D34*1)+(ROUND((Parametri!D8*1),0)-ROUND((Parametri!D8*1)*(Parametri!D30*1),0))*(Parametri!D35))-(Parametri!C8*1)*(ROUND((Parametri!C8*1)*(Parametri!C30*1)/(Parametri!C8*1),0)*(Parametri!C34*1)+(ROUND((Parametri!C8*1),0)-ROUND((Parametri!C8*1)*(Parametri!C30*1),0))*(Parametri!C35))),"N/A")</f>
        <v>8073.48484848486</v>
      </c>
      <c r="I7" s="87" t="n">
        <f aca="false">IFERROR(MAX(D7:H7)-MIN(D7:H7),"N/A")</f>
        <v>1341.66666666667</v>
      </c>
    </row>
    <row r="8" customFormat="false" ht="19.5" hidden="false" customHeight="true" outlineLevel="0" collapsed="false">
      <c r="B8" s="5" t="s">
        <v>223</v>
      </c>
      <c r="C8" s="88" t="n">
        <f aca="false">Parametri!D26</f>
        <v>2731.25</v>
      </c>
      <c r="D8" s="105" t="n">
        <f aca="false">IFERROR(((Parametri!D8*1)*(Parametri!D26*0.6+Parametri!D25)-(Parametri!C8*1)*(Parametri!C26*1+Parametri!C25))/((Parametri!D8*1)*(ROUND((Parametri!D8*1)*(Parametri!D30*1)/(Parametri!D8*1),0)*(Parametri!D34*1)+(ROUND((Parametri!D8*1),0)-ROUND((Parametri!D8*1)*(Parametri!D30*1),0))*(Parametri!D35))-(Parametri!C8*1)*(ROUND((Parametri!C8*1)*(Parametri!C30*1)/(Parametri!C8*1),0)*(Parametri!C34*1)+(ROUND((Parametri!C8*1),0)-ROUND((Parametri!C8*1)*(Parametri!C30*1),0))*(Parametri!C35))),"N/A")</f>
        <v>4606.06060606061</v>
      </c>
      <c r="E8" s="105" t="n">
        <f aca="false">IFERROR(((Parametri!D8*1)*(Parametri!D26*0.8+Parametri!D25)-(Parametri!C8*1)*(Parametri!C26*1+Parametri!C25))/((Parametri!D8*1)*(ROUND((Parametri!D8*1)*(Parametri!D30*1)/(Parametri!D8*1),0)*(Parametri!D34*1)+(ROUND((Parametri!D8*1),0)-ROUND((Parametri!D8*1)*(Parametri!D30*1),0))*(Parametri!D35))-(Parametri!C8*1)*(ROUND((Parametri!C8*1)*(Parametri!C30*1)/(Parametri!C8*1),0)*(Parametri!C34*1)+(ROUND((Parametri!C8*1),0)-ROUND((Parametri!C8*1)*(Parametri!C30*1),0))*(Parametri!C35))),"N/A")</f>
        <v>6675.1893939394</v>
      </c>
      <c r="F8" s="110" t="n">
        <f aca="false">IFERROR(((Parametri!D8*1)*(Parametri!D26*1+Parametri!D25)-(Parametri!C8*1)*(Parametri!C26*1+Parametri!C25))/((Parametri!D8*1)*(ROUND((Parametri!D8*1)*(Parametri!D30*1)/(Parametri!D8*1),0)*(Parametri!D34*1)+(ROUND((Parametri!D8*1),0)-ROUND((Parametri!D8*1)*(Parametri!D30*1),0))*(Parametri!D35))-(Parametri!C8*1)*(ROUND((Parametri!C8*1)*(Parametri!C30*1)/(Parametri!C8*1),0)*(Parametri!C34*1)+(ROUND((Parametri!C8*1),0)-ROUND((Parametri!C8*1)*(Parametri!C30*1),0))*(Parametri!C35))),"N/A")</f>
        <v>8744.3181818182</v>
      </c>
      <c r="G8" s="104" t="n">
        <f aca="false">IFERROR(((Parametri!D8*1)*(Parametri!D26*1.2+Parametri!D25)-(Parametri!C8*1)*(Parametri!C26*1+Parametri!C25))/((Parametri!D8*1)*(ROUND((Parametri!D8*1)*(Parametri!D30*1)/(Parametri!D8*1),0)*(Parametri!D34*1)+(ROUND((Parametri!D8*1),0)-ROUND((Parametri!D8*1)*(Parametri!D30*1),0))*(Parametri!D35))-(Parametri!C8*1)*(ROUND((Parametri!C8*1)*(Parametri!C30*1)/(Parametri!C8*1),0)*(Parametri!C34*1)+(ROUND((Parametri!C8*1),0)-ROUND((Parametri!C8*1)*(Parametri!C30*1),0))*(Parametri!C35))),"N/A")</f>
        <v>10813.446969697</v>
      </c>
      <c r="H8" s="104" t="n">
        <f aca="false">IFERROR(((Parametri!D8*1)*(Parametri!D26*1.4+Parametri!D25)-(Parametri!C8*1)*(Parametri!C26*1+Parametri!C25))/((Parametri!D8*1)*(ROUND((Parametri!D8*1)*(Parametri!D30*1)/(Parametri!D8*1),0)*(Parametri!D34*1)+(ROUND((Parametri!D8*1),0)-ROUND((Parametri!D8*1)*(Parametri!D30*1),0))*(Parametri!D35))-(Parametri!C8*1)*(ROUND((Parametri!C8*1)*(Parametri!C30*1)/(Parametri!C8*1),0)*(Parametri!C34*1)+(ROUND((Parametri!C8*1),0)-ROUND((Parametri!C8*1)*(Parametri!C30*1),0))*(Parametri!C35))),"N/A")</f>
        <v>12882.5757575758</v>
      </c>
      <c r="I8" s="87" t="n">
        <f aca="false">IFERROR(MAX(D8:H8)-MIN(D8:H8),"N/A")</f>
        <v>8276.51515151516</v>
      </c>
    </row>
    <row r="9" customFormat="false" ht="19.5" hidden="false" customHeight="true" outlineLevel="0" collapsed="false">
      <c r="B9" s="5" t="s">
        <v>224</v>
      </c>
      <c r="C9" s="88" t="n">
        <f aca="false">Parametri!C30</f>
        <v>0.52</v>
      </c>
      <c r="D9" s="105" t="n">
        <f aca="false">IFERROR(((Parametri!D8*1)*(Parametri!D26*1+Parametri!D25)-(Parametri!C8*1)*(Parametri!C26*1+Parametri!C25))/((Parametri!D8*1)*(ROUND((Parametri!D8*1)*(Parametri!D30*1)/(Parametri!D8*1),0)*(Parametri!D34*1)+(ROUND((Parametri!D8*1),0)-ROUND((Parametri!D8*1)*(Parametri!D30*1),0))*(Parametri!D35))-(Parametri!C8*1)*(ROUND((Parametri!C8*1)*(Parametri!C30*0.6)/(Parametri!C8*1),0)*(Parametri!C34*1)+(ROUND((Parametri!C8*1),0)-ROUND((Parametri!C8*1)*(Parametri!C30*0.6),0))*(Parametri!C35))),"N/A")</f>
        <v>-13042.3728813559</v>
      </c>
      <c r="E9" s="105" t="n">
        <f aca="false">IFERROR(((Parametri!D8*1)*(Parametri!D26*1+Parametri!D25)-(Parametri!C8*1)*(Parametri!C26*1+Parametri!C25))/((Parametri!D8*1)*(ROUND((Parametri!D8*1)*(Parametri!D30*1)/(Parametri!D8*1),0)*(Parametri!D34*1)+(ROUND((Parametri!D8*1),0)-ROUND((Parametri!D8*1)*(Parametri!D30*1),0))*(Parametri!D35))-(Parametri!C8*1)*(ROUND((Parametri!C8*1)*(Parametri!C30*0.8)/(Parametri!C8*1),0)*(Parametri!C34*1)+(ROUND((Parametri!C8*1),0)-ROUND((Parametri!C8*1)*(Parametri!C30*0.8),0))*(Parametri!C35))),"N/A")</f>
        <v>30780.0000000001</v>
      </c>
      <c r="F9" s="110" t="n">
        <f aca="false">IFERROR(((Parametri!D8*1)*(Parametri!D26*1+Parametri!D25)-(Parametri!C8*1)*(Parametri!C26*1+Parametri!C25))/((Parametri!D8*1)*(ROUND((Parametri!D8*1)*(Parametri!D30*1)/(Parametri!D8*1),0)*(Parametri!D34*1)+(ROUND((Parametri!D8*1),0)-ROUND((Parametri!D8*1)*(Parametri!D30*1),0))*(Parametri!D35))-(Parametri!C8*1)*(ROUND((Parametri!C8*1)*(Parametri!C30*1)/(Parametri!C8*1),0)*(Parametri!C34*1)+(ROUND((Parametri!C8*1),0)-ROUND((Parametri!C8*1)*(Parametri!C30*1),0))*(Parametri!C35))),"N/A")</f>
        <v>8744.3181818182</v>
      </c>
      <c r="G9" s="104" t="n">
        <f aca="false">IFERROR(((Parametri!D8*1)*(Parametri!D26*1+Parametri!D25)-(Parametri!C8*1)*(Parametri!C26*1+Parametri!C25))/((Parametri!D8*1)*(ROUND((Parametri!D8*1)*(Parametri!D30*1)/(Parametri!D8*1),0)*(Parametri!D34*1)+(ROUND((Parametri!D8*1),0)-ROUND((Parametri!D8*1)*(Parametri!D30*1),0))*(Parametri!D35))-(Parametri!C8*1)*(ROUND((Parametri!C8*1)*(Parametri!C30*1.2)/(Parametri!C8*1),0)*(Parametri!C34*1)+(ROUND((Parametri!C8*1),0)-ROUND((Parametri!C8*1)*(Parametri!C30*1.2),0))*(Parametri!C35))),"N/A")</f>
        <v>4473.83720930233</v>
      </c>
      <c r="H9" s="104" t="n">
        <f aca="false">IFERROR(((Parametri!D8*1)*(Parametri!D26*1+Parametri!D25)-(Parametri!C8*1)*(Parametri!C26*1+Parametri!C25))/((Parametri!D8*1)*(ROUND((Parametri!D8*1)*(Parametri!D30*1)/(Parametri!D8*1),0)*(Parametri!D34*1)+(ROUND((Parametri!D8*1),0)-ROUND((Parametri!D8*1)*(Parametri!D30*1),0))*(Parametri!D35))-(Parametri!C8*1)*(ROUND((Parametri!C8*1)*(Parametri!C30*1.4)/(Parametri!C8*1),0)*(Parametri!C34*1)+(ROUND((Parametri!C8*1),0)-ROUND((Parametri!C8*1)*(Parametri!C30*1.4),0))*(Parametri!C35))),"N/A")</f>
        <v>3005.859375</v>
      </c>
      <c r="I9" s="87" t="n">
        <f aca="false">IFERROR(MAX(D9:H9)-MIN(D9:H9),"N/A")</f>
        <v>43822.372881356</v>
      </c>
    </row>
    <row r="10" customFormat="false" ht="19.5" hidden="false" customHeight="true" outlineLevel="0" collapsed="false">
      <c r="B10" s="5" t="s">
        <v>225</v>
      </c>
      <c r="C10" s="88" t="n">
        <f aca="false">Parametri!D30</f>
        <v>0.61</v>
      </c>
      <c r="D10" s="105" t="n">
        <f aca="false">IFERROR(((Parametri!D8*1)*(Parametri!D26*1+Parametri!D25)-(Parametri!C8*1)*(Parametri!C26*1+Parametri!C25))/((Parametri!D8*1)*(ROUND((Parametri!D8*1)*(Parametri!D30*0.6)/(Parametri!D8*1),0)*(Parametri!D34*1)+(ROUND((Parametri!D8*1),0)-ROUND((Parametri!D8*1)*(Parametri!D30*0.6),0))*(Parametri!D35))-(Parametri!C8*1)*(ROUND((Parametri!C8*1)*(Parametri!C30*1)/(Parametri!C8*1),0)*(Parametri!C34*1)+(ROUND((Parametri!C8*1),0)-ROUND((Parametri!C8*1)*(Parametri!C30*1),0))*(Parametri!C35))),"N/A")</f>
        <v>2155.46218487395</v>
      </c>
      <c r="E10" s="105" t="n">
        <f aca="false">IFERROR(((Parametri!D8*1)*(Parametri!D26*1+Parametri!D25)-(Parametri!C8*1)*(Parametri!C26*1+Parametri!C25))/((Parametri!D8*1)*(ROUND((Parametri!D8*1)*(Parametri!D30*0.8)/(Parametri!D8*1),0)*(Parametri!D34*1)+(ROUND((Parametri!D8*1),0)-ROUND((Parametri!D8*1)*(Parametri!D30*0.8),0))*(Parametri!D35))-(Parametri!C8*1)*(ROUND((Parametri!C8*1)*(Parametri!C30*1)/(Parametri!C8*1),0)*(Parametri!C34*1)+(ROUND((Parametri!C8*1),0)-ROUND((Parametri!C8*1)*(Parametri!C30*1),0))*(Parametri!C35))),"N/A")</f>
        <v>3717.39130434783</v>
      </c>
      <c r="F10" s="110" t="n">
        <f aca="false">IFERROR(((Parametri!D8*1)*(Parametri!D26*1+Parametri!D25)-(Parametri!C8*1)*(Parametri!C26*1+Parametri!C25))/((Parametri!D8*1)*(ROUND((Parametri!D8*1)*(Parametri!D30*1)/(Parametri!D8*1),0)*(Parametri!D34*1)+(ROUND((Parametri!D8*1),0)-ROUND((Parametri!D8*1)*(Parametri!D30*1),0))*(Parametri!D35))-(Parametri!C8*1)*(ROUND((Parametri!C8*1)*(Parametri!C30*1)/(Parametri!C8*1),0)*(Parametri!C34*1)+(ROUND((Parametri!C8*1),0)-ROUND((Parametri!C8*1)*(Parametri!C30*1),0))*(Parametri!C35))),"N/A")</f>
        <v>8744.3181818182</v>
      </c>
      <c r="G10" s="104" t="n">
        <f aca="false">IFERROR(((Parametri!D8*1)*(Parametri!D26*1+Parametri!D25)-(Parametri!C8*1)*(Parametri!C26*1+Parametri!C25))/((Parametri!D8*1)*(ROUND((Parametri!D8*1)*(Parametri!D30*1.2)/(Parametri!D8*1),0)*(Parametri!D34*1)+(ROUND((Parametri!D8*1),0)-ROUND((Parametri!D8*1)*(Parametri!D30*1.2),0))*(Parametri!D35))-(Parametri!C8*1)*(ROUND((Parametri!C8*1)*(Parametri!C30*1)/(Parametri!C8*1),0)*(Parametri!C34*1)+(ROUND((Parametri!C8*1),0)-ROUND((Parametri!C8*1)*(Parametri!C30*1),0))*(Parametri!C35))),"N/A")</f>
        <v>-13741.0714285714</v>
      </c>
      <c r="H10" s="104" t="n">
        <f aca="false">IFERROR(((Parametri!D8*1)*(Parametri!D26*1+Parametri!D25)-(Parametri!C8*1)*(Parametri!C26*1+Parametri!C25))/((Parametri!D8*1)*(ROUND((Parametri!D8*1)*(Parametri!D30*1.4)/(Parametri!D8*1),0)*(Parametri!D34*1)+(ROUND((Parametri!D8*1),0)-ROUND((Parametri!D8*1)*(Parametri!D30*1.4),0))*(Parametri!D35))-(Parametri!C8*1)*(ROUND((Parametri!C8*1)*(Parametri!C30*1)/(Parametri!C8*1),0)*(Parametri!C34*1)+(ROUND((Parametri!C8*1),0)-ROUND((Parametri!C8*1)*(Parametri!C30*1),0))*(Parametri!C35))),"N/A")</f>
        <v>-3735.43689320388</v>
      </c>
      <c r="I10" s="87" t="n">
        <f aca="false">IFERROR(MAX(D10:H10)-MIN(D10:H10),"N/A")</f>
        <v>22485.3896103896</v>
      </c>
    </row>
    <row r="11" customFormat="false" ht="19.5" hidden="false" customHeight="true" outlineLevel="0" collapsed="false">
      <c r="B11" s="5" t="s">
        <v>226</v>
      </c>
      <c r="C11" s="88" t="n">
        <f aca="false">Parametri!C34</f>
        <v>0.063</v>
      </c>
      <c r="D11" s="105" t="n">
        <f aca="false">IFERROR(((Parametri!D8*1)*(Parametri!D26*1+Parametri!D25)-(Parametri!C8*1)*(Parametri!C26*1+Parametri!C25))/((Parametri!D8*1)*(ROUND((Parametri!D8*1)*(Parametri!D30*1)/(Parametri!D8*1),0)*(Parametri!D34*1)+(ROUND((Parametri!D8*1),0)-ROUND((Parametri!D8*1)*(Parametri!D30*1),0))*(Parametri!D35))-(Parametri!C8*1)*(ROUND((Parametri!C8*1)*(Parametri!C30*1)/(Parametri!C8*1),0)*(Parametri!C34*0.6)+(ROUND((Parametri!C8*1),0)-ROUND((Parametri!C8*1)*(Parametri!C30*1),0))*(Parametri!C35))),"N/A")</f>
        <v>7982.36514522823</v>
      </c>
      <c r="E11" s="105" t="n">
        <f aca="false">IFERROR(((Parametri!D8*1)*(Parametri!D26*1+Parametri!D25)-(Parametri!C8*1)*(Parametri!C26*1+Parametri!C25))/((Parametri!D8*1)*(ROUND((Parametri!D8*1)*(Parametri!D30*1)/(Parametri!D8*1),0)*(Parametri!D34*1)+(ROUND((Parametri!D8*1),0)-ROUND((Parametri!D8*1)*(Parametri!D30*1),0))*(Parametri!D35))-(Parametri!C8*1)*(ROUND((Parametri!C8*1)*(Parametri!C30*1)/(Parametri!C8*1),0)*(Parametri!C34*0.8)+(ROUND((Parametri!C8*1),0)-ROUND((Parametri!C8*1)*(Parametri!C30*1),0))*(Parametri!C35))),"N/A")</f>
        <v>8345.98698481563</v>
      </c>
      <c r="F11" s="110" t="n">
        <f aca="false">IFERROR(((Parametri!D8*1)*(Parametri!D26*1+Parametri!D25)-(Parametri!C8*1)*(Parametri!C26*1+Parametri!C25))/((Parametri!D8*1)*(ROUND((Parametri!D8*1)*(Parametri!D30*1)/(Parametri!D8*1),0)*(Parametri!D34*1)+(ROUND((Parametri!D8*1),0)-ROUND((Parametri!D8*1)*(Parametri!D30*1),0))*(Parametri!D35))-(Parametri!C8*1)*(ROUND((Parametri!C8*1)*(Parametri!C30*1)/(Parametri!C8*1),0)*(Parametri!C34*1)+(ROUND((Parametri!C8*1),0)-ROUND((Parametri!C8*1)*(Parametri!C30*1),0))*(Parametri!C35))),"N/A")</f>
        <v>8744.3181818182</v>
      </c>
      <c r="G11" s="104" t="n">
        <f aca="false">IFERROR(((Parametri!D8*1)*(Parametri!D26*1+Parametri!D25)-(Parametri!C8*1)*(Parametri!C26*1+Parametri!C25))/((Parametri!D8*1)*(ROUND((Parametri!D8*1)*(Parametri!D30*1)/(Parametri!D8*1),0)*(Parametri!D34*1)+(ROUND((Parametri!D8*1),0)-ROUND((Parametri!D8*1)*(Parametri!D30*1),0))*(Parametri!D35))-(Parametri!C8*1)*(ROUND((Parametri!C8*1)*(Parametri!C30*1)/(Parametri!C8*1),0)*(Parametri!C34*1.2)+(ROUND((Parametri!C8*1),0)-ROUND((Parametri!C8*1)*(Parametri!C30*1),0))*(Parametri!C35))),"N/A")</f>
        <v>9182.57756563247</v>
      </c>
      <c r="H11" s="104" t="n">
        <f aca="false">IFERROR(((Parametri!D8*1)*(Parametri!D26*1+Parametri!D25)-(Parametri!C8*1)*(Parametri!C26*1+Parametri!C25))/((Parametri!D8*1)*(ROUND((Parametri!D8*1)*(Parametri!D30*1)/(Parametri!D8*1),0)*(Parametri!D34*1)+(ROUND((Parametri!D8*1),0)-ROUND((Parametri!D8*1)*(Parametri!D30*1),0))*(Parametri!D35))-(Parametri!C8*1)*(ROUND((Parametri!C8*1)*(Parametri!C30*1)/(Parametri!C8*1),0)*(Parametri!C34*1.4)+(ROUND((Parametri!C8*1),0)-ROUND((Parametri!C8*1)*(Parametri!C30*1),0))*(Parametri!C35))),"N/A")</f>
        <v>9667.0854271357</v>
      </c>
      <c r="I11" s="87" t="n">
        <f aca="false">IFERROR(MAX(D11:H11)-MIN(D11:H11),"N/A")</f>
        <v>1684.72028190747</v>
      </c>
    </row>
    <row r="12" customFormat="false" ht="19.5" hidden="false" customHeight="true" outlineLevel="0" collapsed="false">
      <c r="B12" s="5" t="s">
        <v>227</v>
      </c>
      <c r="C12" s="88" t="n">
        <f aca="false">Parametri!D34</f>
        <v>0.075</v>
      </c>
      <c r="D12" s="105" t="n">
        <f aca="false">IFERROR(((Parametri!D8*1)*(Parametri!D26*1+Parametri!D25)-(Parametri!C8*1)*(Parametri!C26*1+Parametri!C25))/((Parametri!D8*1)*(ROUND((Parametri!D8*1)*(Parametri!D30*1)/(Parametri!D8*1),0)*(Parametri!D34*0.6)+(ROUND((Parametri!D8*1),0)-ROUND((Parametri!D8*1)*(Parametri!D30*1),0))*(Parametri!D35))-(Parametri!C8*1)*(ROUND((Parametri!C8*1)*(Parametri!C30*1)/(Parametri!C8*1),0)*(Parametri!C34*1)+(ROUND((Parametri!C8*1),0)-ROUND((Parametri!C8*1)*(Parametri!C30*1),0))*(Parametri!C35))),"N/A")</f>
        <v>9865.38461538463</v>
      </c>
      <c r="E12" s="105" t="n">
        <f aca="false">IFERROR(((Parametri!D8*1)*(Parametri!D26*1+Parametri!D25)-(Parametri!C8*1)*(Parametri!C26*1+Parametri!C25))/((Parametri!D8*1)*(ROUND((Parametri!D8*1)*(Parametri!D30*1)/(Parametri!D8*1),0)*(Parametri!D34*0.8)+(ROUND((Parametri!D8*1),0)-ROUND((Parametri!D8*1)*(Parametri!D30*1),0))*(Parametri!D35))-(Parametri!C8*1)*(ROUND((Parametri!C8*1)*(Parametri!C30*1)/(Parametri!C8*1),0)*(Parametri!C34*1)+(ROUND((Parametri!C8*1),0)-ROUND((Parametri!C8*1)*(Parametri!C30*1),0))*(Parametri!C35))),"N/A")</f>
        <v>9271.0843373494</v>
      </c>
      <c r="F12" s="110" t="n">
        <f aca="false">IFERROR(((Parametri!D8*1)*(Parametri!D26*1+Parametri!D25)-(Parametri!C8*1)*(Parametri!C26*1+Parametri!C25))/((Parametri!D8*1)*(ROUND((Parametri!D8*1)*(Parametri!D30*1)/(Parametri!D8*1),0)*(Parametri!D34*1)+(ROUND((Parametri!D8*1),0)-ROUND((Parametri!D8*1)*(Parametri!D30*1),0))*(Parametri!D35))-(Parametri!C8*1)*(ROUND((Parametri!C8*1)*(Parametri!C30*1)/(Parametri!C8*1),0)*(Parametri!C34*1)+(ROUND((Parametri!C8*1),0)-ROUND((Parametri!C8*1)*(Parametri!C30*1),0))*(Parametri!C35))),"N/A")</f>
        <v>8744.3181818182</v>
      </c>
      <c r="G12" s="104" t="n">
        <f aca="false">IFERROR(((Parametri!D8*1)*(Parametri!D26*1+Parametri!D25)-(Parametri!C8*1)*(Parametri!C26*1+Parametri!C25))/((Parametri!D8*1)*(ROUND((Parametri!D8*1)*(Parametri!D30*1)/(Parametri!D8*1),0)*(Parametri!D34*1.2)+(ROUND((Parametri!D8*1),0)-ROUND((Parametri!D8*1)*(Parametri!D30*1),0))*(Parametri!D35))-(Parametri!C8*1)*(ROUND((Parametri!C8*1)*(Parametri!C30*1)/(Parametri!C8*1),0)*(Parametri!C34*1)+(ROUND((Parametri!C8*1),0)-ROUND((Parametri!C8*1)*(Parametri!C30*1),0))*(Parametri!C35))),"N/A")</f>
        <v>8274.1935483871</v>
      </c>
      <c r="H12" s="104" t="n">
        <f aca="false">IFERROR(((Parametri!D8*1)*(Parametri!D26*1+Parametri!D25)-(Parametri!C8*1)*(Parametri!C26*1+Parametri!C25))/((Parametri!D8*1)*(ROUND((Parametri!D8*1)*(Parametri!D30*1)/(Parametri!D8*1),0)*(Parametri!D34*1.4)+(ROUND((Parametri!D8*1),0)-ROUND((Parametri!D8*1)*(Parametri!D30*1),0))*(Parametri!D35))-(Parametri!C8*1)*(ROUND((Parametri!C8*1)*(Parametri!C30*1)/(Parametri!C8*1),0)*(Parametri!C34*1)+(ROUND((Parametri!C8*1),0)-ROUND((Parametri!C8*1)*(Parametri!C30*1),0))*(Parametri!C35))),"N/A")</f>
        <v>7852.04081632654</v>
      </c>
      <c r="I12" s="87" t="n">
        <f aca="false">IFERROR(MAX(D12:H12)-MIN(D12:H12),"N/A")</f>
        <v>2013.34379905809</v>
      </c>
    </row>
    <row r="13" customFormat="false" ht="19.5" hidden="false" customHeight="true" outlineLevel="0" collapsed="false">
      <c r="B13" s="5" t="s">
        <v>228</v>
      </c>
      <c r="C13" s="88" t="n">
        <f aca="false">Parametri!C8</f>
        <v>200</v>
      </c>
      <c r="D13" s="105" t="n">
        <f aca="false">IFERROR(((Parametri!D8*0.6)*(Parametri!D26*1+Parametri!D25)-(Parametri!C8*0.6)*(Parametri!C26*1+Parametri!C25))/((Parametri!D8*0.6)*(ROUND((Parametri!D8*0.6)*(Parametri!D30*1)/(Parametri!D8*0.6),0)*(Parametri!D34*1)+(ROUND((Parametri!D8*0.6),0)-ROUND((Parametri!D8*0.6)*(Parametri!D30*1),0))*(Parametri!D35))-(Parametri!C8*0.6)*(ROUND((Parametri!C8*0.6)*(Parametri!C30*1)/(Parametri!C8*0.6),0)*(Parametri!C34*1)+(ROUND((Parametri!C8*0.6),0)-ROUND((Parametri!C8*0.6)*(Parametri!C30*1),0))*(Parametri!C35))),"N/A")</f>
        <v>14250</v>
      </c>
      <c r="E13" s="105" t="n">
        <f aca="false">IFERROR(((Parametri!D8*0.8)*(Parametri!D26*1+Parametri!D25)-(Parametri!C8*0.8)*(Parametri!C26*1+Parametri!C25))/((Parametri!D8*0.8)*(ROUND((Parametri!D8*0.8)*(Parametri!D30*1)/(Parametri!D8*0.8),0)*(Parametri!D34*1)+(ROUND((Parametri!D8*0.8),0)-ROUND((Parametri!D8*0.8)*(Parametri!D30*1),0))*(Parametri!D35))-(Parametri!C8*0.8)*(ROUND((Parametri!C8*0.8)*(Parametri!C30*1)/(Parametri!C8*0.8),0)*(Parametri!C34*1)+(ROUND((Parametri!C8*0.8),0)-ROUND((Parametri!C8*0.8)*(Parametri!C30*1),0))*(Parametri!C35))),"N/A")</f>
        <v>11316.1764705883</v>
      </c>
      <c r="F13" s="110" t="n">
        <f aca="false">IFERROR(((Parametri!D8*1)*(Parametri!D26*1+Parametri!D25)-(Parametri!C8*1)*(Parametri!C26*1+Parametri!C25))/((Parametri!D8*1)*(ROUND((Parametri!D8*1)*(Parametri!D30*1)/(Parametri!D8*1),0)*(Parametri!D34*1)+(ROUND((Parametri!D8*1),0)-ROUND((Parametri!D8*1)*(Parametri!D30*1),0))*(Parametri!D35))-(Parametri!C8*1)*(ROUND((Parametri!C8*1)*(Parametri!C30*1)/(Parametri!C8*1),0)*(Parametri!C34*1)+(ROUND((Parametri!C8*1),0)-ROUND((Parametri!C8*1)*(Parametri!C30*1),0))*(Parametri!C35))),"N/A")</f>
        <v>8744.3181818182</v>
      </c>
      <c r="G13" s="104" t="n">
        <f aca="false">IFERROR(((Parametri!D8*1.2)*(Parametri!D26*1+Parametri!D25)-(Parametri!C8*1.2)*(Parametri!C26*1+Parametri!C25))/((Parametri!D8*1.2)*(ROUND((Parametri!D8*1.2)*(Parametri!D30*1)/(Parametri!D8*1.2),0)*(Parametri!D34*1)+(ROUND((Parametri!D8*1.2),0)-ROUND((Parametri!D8*1.2)*(Parametri!D30*1),0))*(Parametri!D35))-(Parametri!C8*1.2)*(ROUND((Parametri!C8*1.2)*(Parametri!C30*1)/(Parametri!C8*1.2),0)*(Parametri!C34*1)+(ROUND((Parametri!C8*1.2),0)-ROUND((Parametri!C8*1.2)*(Parametri!C30*1),0))*(Parametri!C35))),"N/A")</f>
        <v>7125</v>
      </c>
      <c r="H13" s="104" t="n">
        <f aca="false">IFERROR(((Parametri!D8*1.4)*(Parametri!D26*1+Parametri!D25)-(Parametri!C8*1.4)*(Parametri!C26*1+Parametri!C25))/((Parametri!D8*1.4)*(ROUND((Parametri!D8*1.4)*(Parametri!D30*1)/(Parametri!D8*1.4),0)*(Parametri!D34*1)+(ROUND((Parametri!D8*1.4),0)-ROUND((Parametri!D8*1.4)*(Parametri!D30*1),0))*(Parametri!D35))-(Parametri!C8*1.4)*(ROUND((Parametri!C8*1.4)*(Parametri!C30*1)/(Parametri!C8*1.4),0)*(Parametri!C34*1)+(ROUND((Parametri!C8*1.4),0)-ROUND((Parametri!C8*1.4)*(Parametri!C30*1),0))*(Parametri!C35))),"N/A")</f>
        <v>6307.37704918033</v>
      </c>
      <c r="I13" s="87" t="n">
        <f aca="false">IFERROR(MAX(D13:H13)-MIN(D13:H13),"N/A")</f>
        <v>7942.62295081969</v>
      </c>
    </row>
    <row r="14" customFormat="false" ht="7.5" hidden="false" customHeight="true" outlineLevel="0" collapsed="false"/>
    <row r="15" customFormat="false" ht="19.5" hidden="false" customHeight="true" outlineLevel="0" collapsed="false">
      <c r="B15" s="29" t="s">
        <v>229</v>
      </c>
      <c r="C15" s="29"/>
      <c r="D15" s="29"/>
      <c r="E15" s="29"/>
      <c r="F15" s="29"/>
      <c r="G15" s="29"/>
      <c r="H15" s="29"/>
    </row>
    <row r="16" customFormat="false" ht="27.75" hidden="false" customHeight="true" outlineLevel="0" collapsed="false">
      <c r="B16" s="117" t="s">
        <v>230</v>
      </c>
      <c r="C16" s="117"/>
      <c r="D16" s="117"/>
      <c r="E16" s="117"/>
      <c r="F16" s="117"/>
      <c r="G16" s="117"/>
      <c r="H16" s="117"/>
      <c r="I16" s="117"/>
    </row>
    <row r="17" customFormat="false" ht="30" hidden="false" customHeight="true" outlineLevel="0" collapsed="false">
      <c r="B17" s="118" t="s">
        <v>231</v>
      </c>
      <c r="C17" s="119" t="n">
        <v>0.36</v>
      </c>
      <c r="D17" s="119" t="n">
        <v>0.42</v>
      </c>
      <c r="E17" s="119" t="n">
        <v>0.48</v>
      </c>
      <c r="F17" s="119" t="n">
        <v>0.52</v>
      </c>
      <c r="G17" s="119" t="n">
        <v>0.58</v>
      </c>
      <c r="H17" s="119" t="n">
        <v>0.64</v>
      </c>
    </row>
    <row r="18" customFormat="false" ht="19.5" hidden="false" customHeight="true" outlineLevel="0" collapsed="false">
      <c r="B18" s="120" t="n">
        <v>80</v>
      </c>
      <c r="C18" s="121" t="n">
        <f aca="false">IFERROR((Parametri!D8*(Parametri!D26+Parametri!D25)-Parametri!C8*(80+Parametri!C25))/(Parametri!D8*(ROUND(Parametri!D8*Parametri!D30,0)/Parametri!D8*Parametri!D34+(1-ROUND(Parametri!D8*Parametri!D30,0)/Parametri!D8)*Parametri!D35)-Parametri!C8*(0.36*Parametri!C34+(1-0.36)*Parametri!C35)),"N/A")</f>
        <v>119199.018295404</v>
      </c>
      <c r="D18" s="121" t="n">
        <f aca="false">IFERROR((Parametri!D8*(Parametri!D26+Parametri!D25)-Parametri!C8*(80+Parametri!C25))/(Parametri!D8*(ROUND(Parametri!D8*Parametri!D30,0)/Parametri!D8*Parametri!D34+(1-ROUND(Parametri!D8*Parametri!D30,0)/Parametri!D8)*Parametri!D35)-Parametri!C8*(0.42*Parametri!C34+(1-0.42)*Parametri!C35)),"N/A")</f>
        <v>138049.095607235</v>
      </c>
      <c r="E18" s="121" t="n">
        <f aca="false">IFERROR((Parametri!D8*(Parametri!D26+Parametri!D25)-Parametri!C8*(80+Parametri!C25))/(Parametri!D8*(ROUND(Parametri!D8*Parametri!D30,0)/Parametri!D8*Parametri!D34+(1-ROUND(Parametri!D8*Parametri!D30,0)/Parametri!D8)*Parametri!D35)-Parametri!C8*(0.48*Parametri!C34+(1-0.48)*Parametri!C35)),"N/A")</f>
        <v>163980.969920196</v>
      </c>
      <c r="F18" s="121" t="n">
        <f aca="false">IFERROR((Parametri!D8*(Parametri!D26+Parametri!D25)-Parametri!C8*(80+Parametri!C25))/(Parametri!D8*(ROUND(Parametri!D8*Parametri!D30,0)/Parametri!D8*Parametri!D34+(1-ROUND(Parametri!D8*Parametri!D30,0)/Parametri!D8)*Parametri!D35)-Parametri!C8*(0.52*Parametri!C34+(1-0.52)*Parametri!C35)),"N/A")</f>
        <v>187456.140350877</v>
      </c>
      <c r="G18" s="121" t="n">
        <f aca="false">IFERROR((Parametri!D8*(Parametri!D26+Parametri!D25)-Parametri!C8*(80+Parametri!C25))/(Parametri!D8*(ROUND(Parametri!D8*Parametri!D30,0)/Parametri!D8*Parametri!D34+(1-ROUND(Parametri!D8*Parametri!D30,0)/Parametri!D8)*Parametri!D35)-Parametri!C8*(0.58*Parametri!C34+(1-0.58)*Parametri!C35)),"N/A")</f>
        <v>238717.605004468</v>
      </c>
      <c r="H18" s="121" t="n">
        <f aca="false">IFERROR((Parametri!D8*(Parametri!D26+Parametri!D25)-Parametri!C8*(80+Parametri!C25))/(Parametri!D8*(ROUND(Parametri!D8*Parametri!D30,0)/Parametri!D8*Parametri!D34+(1-ROUND(Parametri!D8*Parametri!D30,0)/Parametri!D8)*Parametri!D35)-Parametri!C8*(0.64*Parametri!C34+(1-0.64)*Parametri!C35)),"N/A")</f>
        <v>328567.035670357</v>
      </c>
    </row>
    <row r="19" customFormat="false" ht="19.5" hidden="false" customHeight="true" outlineLevel="0" collapsed="false">
      <c r="B19" s="120" t="n">
        <v>120</v>
      </c>
      <c r="C19" s="121" t="n">
        <f aca="false">IFERROR((Parametri!D8*(Parametri!D26+Parametri!D25)-Parametri!C8*(120+Parametri!C25))/(Parametri!D8*(ROUND(Parametri!D8*Parametri!D30,0)/Parametri!D8*Parametri!D34+(1-ROUND(Parametri!D8*Parametri!D30,0)/Parametri!D8)*Parametri!D35)-Parametri!C8*(0.36*Parametri!C34+(1-0.36)*Parametri!C35)),"N/A")</f>
        <v>117414.100847836</v>
      </c>
      <c r="D19" s="121" t="n">
        <f aca="false">IFERROR((Parametri!D8*(Parametri!D26+Parametri!D25)-Parametri!C8*(120+Parametri!C25))/(Parametri!D8*(ROUND(Parametri!D8*Parametri!D30,0)/Parametri!D8*Parametri!D34+(1-ROUND(Parametri!D8*Parametri!D30,0)/Parametri!D8)*Parametri!D35)-Parametri!C8*(0.42*Parametri!C34+(1-0.42)*Parametri!C35)),"N/A")</f>
        <v>135981.912144703</v>
      </c>
      <c r="E19" s="121" t="n">
        <f aca="false">IFERROR((Parametri!D8*(Parametri!D26+Parametri!D25)-Parametri!C8*(120+Parametri!C25))/(Parametri!D8*(ROUND(Parametri!D8*Parametri!D30,0)/Parametri!D8*Parametri!D34+(1-ROUND(Parametri!D8*Parametri!D30,0)/Parametri!D8)*Parametri!D35)-Parametri!C8*(0.48*Parametri!C34+(1-0.48)*Parametri!C35)),"N/A")</f>
        <v>161525.475751995</v>
      </c>
      <c r="F19" s="121" t="n">
        <f aca="false">IFERROR((Parametri!D8*(Parametri!D26+Parametri!D25)-Parametri!C8*(120+Parametri!C25))/(Parametri!D8*(ROUND(Parametri!D8*Parametri!D30,0)/Parametri!D8*Parametri!D34+(1-ROUND(Parametri!D8*Parametri!D30,0)/Parametri!D8)*Parametri!D35)-Parametri!C8*(0.52*Parametri!C34+(1-0.52)*Parametri!C35)),"N/A")</f>
        <v>184649.122807018</v>
      </c>
      <c r="G19" s="121" t="n">
        <f aca="false">IFERROR((Parametri!D8*(Parametri!D26+Parametri!D25)-Parametri!C8*(120+Parametri!C25))/(Parametri!D8*(ROUND(Parametri!D8*Parametri!D30,0)/Parametri!D8*Parametri!D34+(1-ROUND(Parametri!D8*Parametri!D30,0)/Parametri!D8)*Parametri!D35)-Parametri!C8*(0.58*Parametri!C34+(1-0.58)*Parametri!C35)),"N/A")</f>
        <v>235142.984807864</v>
      </c>
      <c r="H19" s="121" t="n">
        <f aca="false">IFERROR((Parametri!D8*(Parametri!D26+Parametri!D25)-Parametri!C8*(120+Parametri!C25))/(Parametri!D8*(ROUND(Parametri!D8*Parametri!D30,0)/Parametri!D8*Parametri!D34+(1-ROUND(Parametri!D8*Parametri!D30,0)/Parametri!D8)*Parametri!D35)-Parametri!C8*(0.64*Parametri!C34+(1-0.64)*Parametri!C35)),"N/A")</f>
        <v>323646.986469864</v>
      </c>
    </row>
    <row r="20" customFormat="false" ht="19.5" hidden="false" customHeight="true" outlineLevel="0" collapsed="false">
      <c r="B20" s="120" t="n">
        <v>180</v>
      </c>
      <c r="C20" s="121" t="n">
        <f aca="false">IFERROR((Parametri!D8*(Parametri!D26+Parametri!D25)-Parametri!C8*(180+Parametri!C25))/(Parametri!D8*(ROUND(Parametri!D8*Parametri!D30,0)/Parametri!D8*Parametri!D34+(1-ROUND(Parametri!D8*Parametri!D30,0)/Parametri!D8)*Parametri!D35)-Parametri!C8*(0.36*Parametri!C34+(1-0.36)*Parametri!C35)),"N/A")</f>
        <v>114736.724676484</v>
      </c>
      <c r="D20" s="121" t="n">
        <f aca="false">IFERROR((Parametri!D8*(Parametri!D26+Parametri!D25)-Parametri!C8*(180+Parametri!C25))/(Parametri!D8*(ROUND(Parametri!D8*Parametri!D30,0)/Parametri!D8*Parametri!D34+(1-ROUND(Parametri!D8*Parametri!D30,0)/Parametri!D8)*Parametri!D35)-Parametri!C8*(0.42*Parametri!C34+(1-0.42)*Parametri!C35)),"N/A")</f>
        <v>132881.136950904</v>
      </c>
      <c r="E20" s="121" t="n">
        <f aca="false">IFERROR((Parametri!D8*(Parametri!D26+Parametri!D25)-Parametri!C8*(180+Parametri!C25))/(Parametri!D8*(ROUND(Parametri!D8*Parametri!D30,0)/Parametri!D8*Parametri!D34+(1-ROUND(Parametri!D8*Parametri!D30,0)/Parametri!D8)*Parametri!D35)-Parametri!C8*(0.48*Parametri!C34+(1-0.48)*Parametri!C35)),"N/A")</f>
        <v>157842.234499693</v>
      </c>
      <c r="F20" s="121" t="n">
        <f aca="false">IFERROR((Parametri!D8*(Parametri!D26+Parametri!D25)-Parametri!C8*(180+Parametri!C25))/(Parametri!D8*(ROUND(Parametri!D8*Parametri!D30,0)/Parametri!D8*Parametri!D34+(1-ROUND(Parametri!D8*Parametri!D30,0)/Parametri!D8)*Parametri!D35)-Parametri!C8*(0.52*Parametri!C34+(1-0.52)*Parametri!C35)),"N/A")</f>
        <v>180438.596491228</v>
      </c>
      <c r="G20" s="121" t="n">
        <f aca="false">IFERROR((Parametri!D8*(Parametri!D26+Parametri!D25)-Parametri!C8*(180+Parametri!C25))/(Parametri!D8*(ROUND(Parametri!D8*Parametri!D30,0)/Parametri!D8*Parametri!D34+(1-ROUND(Parametri!D8*Parametri!D30,0)/Parametri!D8)*Parametri!D35)-Parametri!C8*(0.58*Parametri!C34+(1-0.58)*Parametri!C35)),"N/A")</f>
        <v>229781.054512958</v>
      </c>
      <c r="H20" s="121" t="n">
        <f aca="false">IFERROR((Parametri!D8*(Parametri!D26+Parametri!D25)-Parametri!C8*(180+Parametri!C25))/(Parametri!D8*(ROUND(Parametri!D8*Parametri!D30,0)/Parametri!D8*Parametri!D34+(1-ROUND(Parametri!D8*Parametri!D30,0)/Parametri!D8)*Parametri!D35)-Parametri!C8*(0.64*Parametri!C34+(1-0.64)*Parametri!C35)),"N/A")</f>
        <v>316266.912669126</v>
      </c>
    </row>
    <row r="21" customFormat="false" ht="19.5" hidden="false" customHeight="true" outlineLevel="0" collapsed="false">
      <c r="B21" s="120" t="n">
        <v>240</v>
      </c>
      <c r="C21" s="121" t="n">
        <f aca="false">IFERROR((Parametri!D8*(Parametri!D26+Parametri!D25)-Parametri!C8*(240+Parametri!C25))/(Parametri!D8*(ROUND(Parametri!D8*Parametri!D30,0)/Parametri!D8*Parametri!D34+(1-ROUND(Parametri!D8*Parametri!D30,0)/Parametri!D8)*Parametri!D35)-Parametri!C8*(0.36*Parametri!C34+(1-0.36)*Parametri!C35)),"N/A")</f>
        <v>112059.348505132</v>
      </c>
      <c r="D21" s="121" t="n">
        <f aca="false">IFERROR((Parametri!D8*(Parametri!D26+Parametri!D25)-Parametri!C8*(240+Parametri!C25))/(Parametri!D8*(ROUND(Parametri!D8*Parametri!D30,0)/Parametri!D8*Parametri!D34+(1-ROUND(Parametri!D8*Parametri!D30,0)/Parametri!D8)*Parametri!D35)-Parametri!C8*(0.42*Parametri!C34+(1-0.42)*Parametri!C35)),"N/A")</f>
        <v>129780.361757106</v>
      </c>
      <c r="E21" s="121" t="n">
        <f aca="false">IFERROR((Parametri!D8*(Parametri!D26+Parametri!D25)-Parametri!C8*(240+Parametri!C25))/(Parametri!D8*(ROUND(Parametri!D8*Parametri!D30,0)/Parametri!D8*Parametri!D34+(1-ROUND(Parametri!D8*Parametri!D30,0)/Parametri!D8)*Parametri!D35)-Parametri!C8*(0.48*Parametri!C34+(1-0.48)*Parametri!C35)),"N/A")</f>
        <v>154158.993247391</v>
      </c>
      <c r="F21" s="121" t="n">
        <f aca="false">IFERROR((Parametri!D8*(Parametri!D26+Parametri!D25)-Parametri!C8*(240+Parametri!C25))/(Parametri!D8*(ROUND(Parametri!D8*Parametri!D30,0)/Parametri!D8*Parametri!D34+(1-ROUND(Parametri!D8*Parametri!D30,0)/Parametri!D8)*Parametri!D35)-Parametri!C8*(0.52*Parametri!C34+(1-0.52)*Parametri!C35)),"N/A")</f>
        <v>176228.070175439</v>
      </c>
      <c r="G21" s="121" t="n">
        <f aca="false">IFERROR((Parametri!D8*(Parametri!D26+Parametri!D25)-Parametri!C8*(240+Parametri!C25))/(Parametri!D8*(ROUND(Parametri!D8*Parametri!D30,0)/Parametri!D8*Parametri!D34+(1-ROUND(Parametri!D8*Parametri!D30,0)/Parametri!D8)*Parametri!D35)-Parametri!C8*(0.58*Parametri!C34+(1-0.58)*Parametri!C35)),"N/A")</f>
        <v>224419.124218052</v>
      </c>
      <c r="H21" s="121" t="n">
        <f aca="false">IFERROR((Parametri!D8*(Parametri!D26+Parametri!D25)-Parametri!C8*(240+Parametri!C25))/(Parametri!D8*(ROUND(Parametri!D8*Parametri!D30,0)/Parametri!D8*Parametri!D34+(1-ROUND(Parametri!D8*Parametri!D30,0)/Parametri!D8)*Parametri!D35)-Parametri!C8*(0.64*Parametri!C34+(1-0.64)*Parametri!C35)),"N/A")</f>
        <v>308886.838868388</v>
      </c>
    </row>
    <row r="22" customFormat="false" ht="19.5" hidden="false" customHeight="true" outlineLevel="0" collapsed="false">
      <c r="B22" s="120" t="n">
        <v>320</v>
      </c>
      <c r="C22" s="121" t="n">
        <f aca="false">IFERROR((Parametri!D8*(Parametri!D26+Parametri!D25)-Parametri!C8*(320+Parametri!C25))/(Parametri!D8*(ROUND(Parametri!D8*Parametri!D30,0)/Parametri!D8*Parametri!D34+(1-ROUND(Parametri!D8*Parametri!D30,0)/Parametri!D8)*Parametri!D35)-Parametri!C8*(0.36*Parametri!C34+(1-0.36)*Parametri!C35)),"N/A")</f>
        <v>108489.513609996</v>
      </c>
      <c r="D22" s="121" t="n">
        <f aca="false">IFERROR((Parametri!D8*(Parametri!D26+Parametri!D25)-Parametri!C8*(320+Parametri!C25))/(Parametri!D8*(ROUND(Parametri!D8*Parametri!D30,0)/Parametri!D8*Parametri!D34+(1-ROUND(Parametri!D8*Parametri!D30,0)/Parametri!D8)*Parametri!D35)-Parametri!C8*(0.42*Parametri!C34+(1-0.42)*Parametri!C35)),"N/A")</f>
        <v>125645.994832041</v>
      </c>
      <c r="E22" s="121" t="n">
        <f aca="false">IFERROR((Parametri!D8*(Parametri!D26+Parametri!D25)-Parametri!C8*(320+Parametri!C25))/(Parametri!D8*(ROUND(Parametri!D8*Parametri!D30,0)/Parametri!D8*Parametri!D34+(1-ROUND(Parametri!D8*Parametri!D30,0)/Parametri!D8)*Parametri!D35)-Parametri!C8*(0.48*Parametri!C34+(1-0.48)*Parametri!C35)),"N/A")</f>
        <v>149248.004910988</v>
      </c>
      <c r="F22" s="121" t="n">
        <f aca="false">IFERROR((Parametri!D8*(Parametri!D26+Parametri!D25)-Parametri!C8*(320+Parametri!C25))/(Parametri!D8*(ROUND(Parametri!D8*Parametri!D30,0)/Parametri!D8*Parametri!D34+(1-ROUND(Parametri!D8*Parametri!D30,0)/Parametri!D8)*Parametri!D35)-Parametri!C8*(0.52*Parametri!C34+(1-0.52)*Parametri!C35)),"N/A")</f>
        <v>170614.035087719</v>
      </c>
      <c r="G22" s="121" t="n">
        <f aca="false">IFERROR((Parametri!D8*(Parametri!D26+Parametri!D25)-Parametri!C8*(320+Parametri!C25))/(Parametri!D8*(ROUND(Parametri!D8*Parametri!D30,0)/Parametri!D8*Parametri!D34+(1-ROUND(Parametri!D8*Parametri!D30,0)/Parametri!D8)*Parametri!D35)-Parametri!C8*(0.58*Parametri!C34+(1-0.58)*Parametri!C35)),"N/A")</f>
        <v>217269.883824843</v>
      </c>
      <c r="H22" s="121" t="n">
        <f aca="false">IFERROR((Parametri!D8*(Parametri!D26+Parametri!D25)-Parametri!C8*(320+Parametri!C25))/(Parametri!D8*(ROUND(Parametri!D8*Parametri!D30,0)/Parametri!D8*Parametri!D34+(1-ROUND(Parametri!D8*Parametri!D30,0)/Parametri!D8)*Parametri!D35)-Parametri!C8*(0.64*Parametri!C34+(1-0.64)*Parametri!C35)),"N/A")</f>
        <v>299046.740467404</v>
      </c>
    </row>
    <row r="23" customFormat="false" ht="19.5" hidden="false" customHeight="true" outlineLevel="0" collapsed="false">
      <c r="B23" s="120" t="n">
        <v>400</v>
      </c>
      <c r="C23" s="121" t="n">
        <f aca="false">IFERROR((Parametri!D8*(Parametri!D26+Parametri!D25)-Parametri!C8*(400+Parametri!C25))/(Parametri!D8*(ROUND(Parametri!D8*Parametri!D30,0)/Parametri!D8*Parametri!D34+(1-ROUND(Parametri!D8*Parametri!D30,0)/Parametri!D8)*Parametri!D35)-Parametri!C8*(0.36*Parametri!C34+(1-0.36)*Parametri!C35)),"N/A")</f>
        <v>104919.678714859</v>
      </c>
      <c r="D23" s="121" t="n">
        <f aca="false">IFERROR((Parametri!D8*(Parametri!D26+Parametri!D25)-Parametri!C8*(400+Parametri!C25))/(Parametri!D8*(ROUND(Parametri!D8*Parametri!D30,0)/Parametri!D8*Parametri!D34+(1-ROUND(Parametri!D8*Parametri!D30,0)/Parametri!D8)*Parametri!D35)-Parametri!C8*(0.42*Parametri!C34+(1-0.42)*Parametri!C35)),"N/A")</f>
        <v>121511.627906977</v>
      </c>
      <c r="E23" s="121" t="n">
        <f aca="false">IFERROR((Parametri!D8*(Parametri!D26+Parametri!D25)-Parametri!C8*(400+Parametri!C25))/(Parametri!D8*(ROUND(Parametri!D8*Parametri!D30,0)/Parametri!D8*Parametri!D34+(1-ROUND(Parametri!D8*Parametri!D30,0)/Parametri!D8)*Parametri!D35)-Parametri!C8*(0.48*Parametri!C34+(1-0.48)*Parametri!C35)),"N/A")</f>
        <v>144337.016574586</v>
      </c>
      <c r="F23" s="121" t="n">
        <f aca="false">IFERROR((Parametri!D8*(Parametri!D26+Parametri!D25)-Parametri!C8*(400+Parametri!C25))/(Parametri!D8*(ROUND(Parametri!D8*Parametri!D30,0)/Parametri!D8*Parametri!D34+(1-ROUND(Parametri!D8*Parametri!D30,0)/Parametri!D8)*Parametri!D35)-Parametri!C8*(0.52*Parametri!C34+(1-0.52)*Parametri!C35)),"N/A")</f>
        <v>165000</v>
      </c>
      <c r="G23" s="121" t="n">
        <f aca="false">IFERROR((Parametri!D8*(Parametri!D26+Parametri!D25)-Parametri!C8*(400+Parametri!C25))/(Parametri!D8*(ROUND(Parametri!D8*Parametri!D30,0)/Parametri!D8*Parametri!D34+(1-ROUND(Parametri!D8*Parametri!D30,0)/Parametri!D8)*Parametri!D35)-Parametri!C8*(0.58*Parametri!C34+(1-0.58)*Parametri!C35)),"N/A")</f>
        <v>210120.643431635</v>
      </c>
      <c r="H23" s="121" t="n">
        <f aca="false">IFERROR((Parametri!D8*(Parametri!D26+Parametri!D25)-Parametri!C8*(400+Parametri!C25))/(Parametri!D8*(ROUND(Parametri!D8*Parametri!D30,0)/Parametri!D8*Parametri!D34+(1-ROUND(Parametri!D8*Parametri!D30,0)/Parametri!D8)*Parametri!D35)-Parametri!C8*(0.64*Parametri!C34+(1-0.64)*Parametri!C35)),"N/A")</f>
        <v>289206.64206642</v>
      </c>
    </row>
    <row r="24" customFormat="false" ht="19.5" hidden="false" customHeight="true" outlineLevel="0" collapsed="false">
      <c r="B24" s="120" t="n">
        <v>500</v>
      </c>
      <c r="C24" s="121" t="n">
        <f aca="false">IFERROR((Parametri!D8*(Parametri!D26+Parametri!D25)-Parametri!C8*(500+Parametri!C25))/(Parametri!D8*(ROUND(Parametri!D8*Parametri!D30,0)/Parametri!D8*Parametri!D34+(1-ROUND(Parametri!D8*Parametri!D30,0)/Parametri!D8)*Parametri!D35)-Parametri!C8*(0.36*Parametri!C34+(1-0.36)*Parametri!C35)),"N/A")</f>
        <v>100457.385095939</v>
      </c>
      <c r="D24" s="121" t="n">
        <f aca="false">IFERROR((Parametri!D8*(Parametri!D26+Parametri!D25)-Parametri!C8*(500+Parametri!C25))/(Parametri!D8*(ROUND(Parametri!D8*Parametri!D30,0)/Parametri!D8*Parametri!D34+(1-ROUND(Parametri!D8*Parametri!D30,0)/Parametri!D8)*Parametri!D35)-Parametri!C8*(0.42*Parametri!C34+(1-0.42)*Parametri!C35)),"N/A")</f>
        <v>116343.669250646</v>
      </c>
      <c r="E24" s="121" t="n">
        <f aca="false">IFERROR((Parametri!D8*(Parametri!D26+Parametri!D25)-Parametri!C8*(500+Parametri!C25))/(Parametri!D8*(ROUND(Parametri!D8*Parametri!D30,0)/Parametri!D8*Parametri!D34+(1-ROUND(Parametri!D8*Parametri!D30,0)/Parametri!D8)*Parametri!D35)-Parametri!C8*(0.48*Parametri!C34+(1-0.48)*Parametri!C35)),"N/A")</f>
        <v>138198.281154082</v>
      </c>
      <c r="F24" s="121" t="n">
        <f aca="false">IFERROR((Parametri!D8*(Parametri!D26+Parametri!D25)-Parametri!C8*(500+Parametri!C25))/(Parametri!D8*(ROUND(Parametri!D8*Parametri!D30,0)/Parametri!D8*Parametri!D34+(1-ROUND(Parametri!D8*Parametri!D30,0)/Parametri!D8)*Parametri!D35)-Parametri!C8*(0.52*Parametri!C34+(1-0.52)*Parametri!C35)),"N/A")</f>
        <v>157982.456140351</v>
      </c>
      <c r="G24" s="121" t="n">
        <f aca="false">IFERROR((Parametri!D8*(Parametri!D26+Parametri!D25)-Parametri!C8*(500+Parametri!C25))/(Parametri!D8*(ROUND(Parametri!D8*Parametri!D30,0)/Parametri!D8*Parametri!D34+(1-ROUND(Parametri!D8*Parametri!D30,0)/Parametri!D8)*Parametri!D35)-Parametri!C8*(0.58*Parametri!C34+(1-0.58)*Parametri!C35)),"N/A")</f>
        <v>201184.092940125</v>
      </c>
      <c r="H24" s="121" t="n">
        <f aca="false">IFERROR((Parametri!D8*(Parametri!D26+Parametri!D25)-Parametri!C8*(500+Parametri!C25))/(Parametri!D8*(ROUND(Parametri!D8*Parametri!D30,0)/Parametri!D8*Parametri!D34+(1-ROUND(Parametri!D8*Parametri!D30,0)/Parametri!D8)*Parametri!D35)-Parametri!C8*(0.64*Parametri!C34+(1-0.64)*Parametri!C35)),"N/A")</f>
        <v>276906.51906519</v>
      </c>
    </row>
    <row r="25" customFormat="false" ht="7.5" hidden="false" customHeight="true" outlineLevel="0" collapsed="false"/>
    <row r="26" customFormat="false" ht="19.5" hidden="false" customHeight="true" outlineLevel="0" collapsed="false">
      <c r="B26" s="29" t="s">
        <v>232</v>
      </c>
      <c r="C26" s="29"/>
      <c r="D26" s="29"/>
      <c r="E26" s="29"/>
      <c r="F26" s="29"/>
      <c r="G26" s="29"/>
      <c r="H26" s="29"/>
    </row>
    <row r="27" customFormat="false" ht="21.75" hidden="false" customHeight="true" outlineLevel="0" collapsed="false">
      <c r="B27" s="74" t="s">
        <v>233</v>
      </c>
      <c r="C27" s="74"/>
      <c r="D27" s="74"/>
      <c r="E27" s="74"/>
      <c r="F27" s="74"/>
      <c r="G27" s="74"/>
      <c r="H27" s="74"/>
      <c r="I27" s="74"/>
    </row>
    <row r="28" customFormat="false" ht="30" hidden="false" customHeight="true" outlineLevel="0" collapsed="false">
      <c r="B28" s="118" t="s">
        <v>234</v>
      </c>
      <c r="C28" s="122" t="n">
        <v>60</v>
      </c>
      <c r="D28" s="122" t="n">
        <v>90</v>
      </c>
      <c r="E28" s="122" t="n">
        <v>120</v>
      </c>
      <c r="F28" s="122" t="n">
        <v>150</v>
      </c>
      <c r="G28" s="122" t="n">
        <v>200</v>
      </c>
      <c r="H28" s="122" t="n">
        <v>250</v>
      </c>
    </row>
    <row r="29" customFormat="false" ht="19.5" hidden="false" customHeight="true" outlineLevel="0" collapsed="false">
      <c r="B29" s="123" t="n">
        <v>50</v>
      </c>
      <c r="C29" s="124" t="n">
        <f aca="false">IFERROR((ROUND(50*Parametri!C30,0)*Parametri!C34*Parametri!C43*(1+Parametri!C38+Parametri!C39)+ROUND(50*Parametri!C30,0)*Parametri!C47*Parametri!C46*Parametri!C48*(1+(1+Parametri!C45)+(1+Parametri!C45)^2)-(50*((60+Parametri!C26-120)*1.15+Parametri!C25)+50*(Parametri!C26-120+60)*1.15*(1+Parametri!C45)+50*(Parametri!C26-120+60)*1.15*(1+Parametri!C45)^2))/(50*((60+Parametri!C26-120)*1.15+Parametri!C25)+50*(Parametri!C26-120+60)*1.15*(1+Parametri!C45)+50*(Parametri!C26-120+60)*1.15*(1+Parametri!C45)^2),"N/A")</f>
        <v>4.7965280935883</v>
      </c>
      <c r="D29" s="124" t="n">
        <f aca="false">IFERROR((ROUND(50*Parametri!C30,0)*Parametri!C34*Parametri!C43*(1+Parametri!C38+Parametri!C39)+ROUND(50*Parametri!C30,0)*Parametri!C47*Parametri!C46*Parametri!C48*(1+(1+Parametri!C45)+(1+Parametri!C45)^2)-(50*((90+Parametri!C26-120)*1.15+Parametri!C25)+50*(Parametri!C26-120+90)*1.15*(1+Parametri!C45)+50*(Parametri!C26-120+90)*1.15*(1+Parametri!C45)^2))/(50*((90+Parametri!C26-120)*1.15+Parametri!C25)+50*(Parametri!C26-120+90)*1.15*(1+Parametri!C45)+50*(Parametri!C26-120+90)*1.15*(1+Parametri!C45)^2),"N/A")</f>
        <v>4.38370117347602</v>
      </c>
      <c r="E29" s="124" t="n">
        <f aca="false">IFERROR((ROUND(50*Parametri!C30,0)*Parametri!C34*Parametri!C43*(1+Parametri!C38+Parametri!C39)+ROUND(50*Parametri!C30,0)*Parametri!C47*Parametri!C46*Parametri!C48*(1+(1+Parametri!C45)+(1+Parametri!C45)^2)-(50*((120+Parametri!C26-120)*1.15+Parametri!C25)+50*(Parametri!C26-120+120)*1.15*(1+Parametri!C45)+50*(Parametri!C26-120+120)*1.15*(1+Parametri!C45)^2))/(50*((120+Parametri!C26-120)*1.15+Parametri!C25)+50*(Parametri!C26-120+120)*1.15*(1+Parametri!C45)+50*(Parametri!C26-120+120)*1.15*(1+Parametri!C45)^2),"N/A")</f>
        <v>4.02576757661337</v>
      </c>
      <c r="F29" s="124" t="n">
        <f aca="false">IFERROR((ROUND(50*Parametri!C30,0)*Parametri!C34*Parametri!C43*(1+Parametri!C38+Parametri!C39)+ROUND(50*Parametri!C30,0)*Parametri!C47*Parametri!C46*Parametri!C48*(1+(1+Parametri!C45)+(1+Parametri!C45)^2)-(50*((150+Parametri!C26-120)*1.15+Parametri!C25)+50*(Parametri!C26-120+150)*1.15*(1+Parametri!C45)+50*(Parametri!C26-120+150)*1.15*(1+Parametri!C45)^2))/(50*((150+Parametri!C26-120)*1.15+Parametri!C25)+50*(Parametri!C26-120+150)*1.15*(1+Parametri!C45)+50*(Parametri!C26-120+150)*1.15*(1+Parametri!C45)^2),"N/A")</f>
        <v>3.71246115124024</v>
      </c>
      <c r="G29" s="124" t="n">
        <f aca="false">IFERROR((ROUND(50*Parametri!C30,0)*Parametri!C34*Parametri!C43*(1+Parametri!C38+Parametri!C39)+ROUND(50*Parametri!C30,0)*Parametri!C47*Parametri!C46*Parametri!C48*(1+(1+Parametri!C45)+(1+Parametri!C45)^2)-(50*((200+Parametri!C26-120)*1.15+Parametri!C25)+50*(Parametri!C26-120+200)*1.15*(1+Parametri!C45)+50*(Parametri!C26-120+200)*1.15*(1+Parametri!C45)^2))/(50*((200+Parametri!C26-120)*1.15+Parametri!C25)+50*(Parametri!C26-120+200)*1.15*(1+Parametri!C45)+50*(Parametri!C26-120+200)*1.15*(1+Parametri!C45)^2),"N/A")</f>
        <v>3.26892023332192</v>
      </c>
      <c r="H29" s="124" t="n">
        <f aca="false">IFERROR((ROUND(50*Parametri!C30,0)*Parametri!C34*Parametri!C43*(1+Parametri!C38+Parametri!C39)+ROUND(50*Parametri!C30,0)*Parametri!C47*Parametri!C46*Parametri!C48*(1+(1+Parametri!C45)+(1+Parametri!C45)^2)-(50*((250+Parametri!C26-120)*1.15+Parametri!C25)+50*(Parametri!C26-120+250)*1.15*(1+Parametri!C45)+50*(Parametri!C26-120+250)*1.15*(1+Parametri!C45)^2))/(50*((250+Parametri!C26-120)*1.15+Parametri!C25)+50*(Parametri!C26-120+250)*1.15*(1+Parametri!C45)+50*(Parametri!C26-120+250)*1.15*(1+Parametri!C45)^2),"N/A")</f>
        <v>2.90168981459621</v>
      </c>
    </row>
    <row r="30" customFormat="false" ht="19.5" hidden="false" customHeight="true" outlineLevel="0" collapsed="false">
      <c r="B30" s="123" t="n">
        <v>100</v>
      </c>
      <c r="C30" s="124" t="n">
        <f aca="false">IFERROR((ROUND(100*Parametri!C30,0)*Parametri!C34*Parametri!C43*(1+Parametri!C38+Parametri!C39)+ROUND(100*Parametri!C30,0)*Parametri!C47*Parametri!C46*Parametri!C48*(1+(1+Parametri!C45)+(1+Parametri!C45)^2)-(100*((60+Parametri!C26-120)*1.15+Parametri!C25)+100*(Parametri!C26-120+60)*1.15*(1+Parametri!C45)+100*(Parametri!C26-120+60)*1.15*(1+Parametri!C45)^2))/(100*((60+Parametri!C26-120)*1.15+Parametri!C25)+100*(Parametri!C26-120+60)*1.15*(1+Parametri!C45)+100*(Parametri!C26-120+60)*1.15*(1+Parametri!C45)^2),"N/A")</f>
        <v>4.7965280935883</v>
      </c>
      <c r="D30" s="124" t="n">
        <f aca="false">IFERROR((ROUND(100*Parametri!C30,0)*Parametri!C34*Parametri!C43*(1+Parametri!C38+Parametri!C39)+ROUND(100*Parametri!C30,0)*Parametri!C47*Parametri!C46*Parametri!C48*(1+(1+Parametri!C45)+(1+Parametri!C45)^2)-(100*((90+Parametri!C26-120)*1.15+Parametri!C25)+100*(Parametri!C26-120+90)*1.15*(1+Parametri!C45)+100*(Parametri!C26-120+90)*1.15*(1+Parametri!C45)^2))/(100*((90+Parametri!C26-120)*1.15+Parametri!C25)+100*(Parametri!C26-120+90)*1.15*(1+Parametri!C45)+100*(Parametri!C26-120+90)*1.15*(1+Parametri!C45)^2),"N/A")</f>
        <v>4.38370117347602</v>
      </c>
      <c r="E30" s="124" t="n">
        <f aca="false">IFERROR((ROUND(100*Parametri!C30,0)*Parametri!C34*Parametri!C43*(1+Parametri!C38+Parametri!C39)+ROUND(100*Parametri!C30,0)*Parametri!C47*Parametri!C46*Parametri!C48*(1+(1+Parametri!C45)+(1+Parametri!C45)^2)-(100*((120+Parametri!C26-120)*1.15+Parametri!C25)+100*(Parametri!C26-120+120)*1.15*(1+Parametri!C45)+100*(Parametri!C26-120+120)*1.15*(1+Parametri!C45)^2))/(100*((120+Parametri!C26-120)*1.15+Parametri!C25)+100*(Parametri!C26-120+120)*1.15*(1+Parametri!C45)+100*(Parametri!C26-120+120)*1.15*(1+Parametri!C45)^2),"N/A")</f>
        <v>4.02576757661337</v>
      </c>
      <c r="F30" s="124" t="n">
        <f aca="false">IFERROR((ROUND(100*Parametri!C30,0)*Parametri!C34*Parametri!C43*(1+Parametri!C38+Parametri!C39)+ROUND(100*Parametri!C30,0)*Parametri!C47*Parametri!C46*Parametri!C48*(1+(1+Parametri!C45)+(1+Parametri!C45)^2)-(100*((150+Parametri!C26-120)*1.15+Parametri!C25)+100*(Parametri!C26-120+150)*1.15*(1+Parametri!C45)+100*(Parametri!C26-120+150)*1.15*(1+Parametri!C45)^2))/(100*((150+Parametri!C26-120)*1.15+Parametri!C25)+100*(Parametri!C26-120+150)*1.15*(1+Parametri!C45)+100*(Parametri!C26-120+150)*1.15*(1+Parametri!C45)^2),"N/A")</f>
        <v>3.71246115124024</v>
      </c>
      <c r="G30" s="124" t="n">
        <f aca="false">IFERROR((ROUND(100*Parametri!C30,0)*Parametri!C34*Parametri!C43*(1+Parametri!C38+Parametri!C39)+ROUND(100*Parametri!C30,0)*Parametri!C47*Parametri!C46*Parametri!C48*(1+(1+Parametri!C45)+(1+Parametri!C45)^2)-(100*((200+Parametri!C26-120)*1.15+Parametri!C25)+100*(Parametri!C26-120+200)*1.15*(1+Parametri!C45)+100*(Parametri!C26-120+200)*1.15*(1+Parametri!C45)^2))/(100*((200+Parametri!C26-120)*1.15+Parametri!C25)+100*(Parametri!C26-120+200)*1.15*(1+Parametri!C45)+100*(Parametri!C26-120+200)*1.15*(1+Parametri!C45)^2),"N/A")</f>
        <v>3.26892023332192</v>
      </c>
      <c r="H30" s="124" t="n">
        <f aca="false">IFERROR((ROUND(100*Parametri!C30,0)*Parametri!C34*Parametri!C43*(1+Parametri!C38+Parametri!C39)+ROUND(100*Parametri!C30,0)*Parametri!C47*Parametri!C46*Parametri!C48*(1+(1+Parametri!C45)+(1+Parametri!C45)^2)-(100*((250+Parametri!C26-120)*1.15+Parametri!C25)+100*(Parametri!C26-120+250)*1.15*(1+Parametri!C45)+100*(Parametri!C26-120+250)*1.15*(1+Parametri!C45)^2))/(100*((250+Parametri!C26-120)*1.15+Parametri!C25)+100*(Parametri!C26-120+250)*1.15*(1+Parametri!C45)+100*(Parametri!C26-120+250)*1.15*(1+Parametri!C45)^2),"N/A")</f>
        <v>2.90168981459621</v>
      </c>
    </row>
    <row r="31" customFormat="false" ht="19.5" hidden="false" customHeight="true" outlineLevel="0" collapsed="false">
      <c r="B31" s="123" t="n">
        <v>150</v>
      </c>
      <c r="C31" s="124" t="n">
        <f aca="false">IFERROR((ROUND(150*Parametri!C30,0)*Parametri!C34*Parametri!C43*(1+Parametri!C38+Parametri!C39)+ROUND(150*Parametri!C30,0)*Parametri!C47*Parametri!C46*Parametri!C48*(1+(1+Parametri!C45)+(1+Parametri!C45)^2)-(150*((60+Parametri!C26-120)*1.15+Parametri!C25)+150*(Parametri!C26-120+60)*1.15*(1+Parametri!C45)+150*(Parametri!C26-120+60)*1.15*(1+Parametri!C45)^2))/(150*((60+Parametri!C26-120)*1.15+Parametri!C25)+150*(Parametri!C26-120+60)*1.15*(1+Parametri!C45)+150*(Parametri!C26-120+60)*1.15*(1+Parametri!C45)^2),"N/A")</f>
        <v>4.7965280935883</v>
      </c>
      <c r="D31" s="124" t="n">
        <f aca="false">IFERROR((ROUND(150*Parametri!C30,0)*Parametri!C34*Parametri!C43*(1+Parametri!C38+Parametri!C39)+ROUND(150*Parametri!C30,0)*Parametri!C47*Parametri!C46*Parametri!C48*(1+(1+Parametri!C45)+(1+Parametri!C45)^2)-(150*((90+Parametri!C26-120)*1.15+Parametri!C25)+150*(Parametri!C26-120+90)*1.15*(1+Parametri!C45)+150*(Parametri!C26-120+90)*1.15*(1+Parametri!C45)^2))/(150*((90+Parametri!C26-120)*1.15+Parametri!C25)+150*(Parametri!C26-120+90)*1.15*(1+Parametri!C45)+150*(Parametri!C26-120+90)*1.15*(1+Parametri!C45)^2),"N/A")</f>
        <v>4.38370117347602</v>
      </c>
      <c r="E31" s="124" t="n">
        <f aca="false">IFERROR((ROUND(150*Parametri!C30,0)*Parametri!C34*Parametri!C43*(1+Parametri!C38+Parametri!C39)+ROUND(150*Parametri!C30,0)*Parametri!C47*Parametri!C46*Parametri!C48*(1+(1+Parametri!C45)+(1+Parametri!C45)^2)-(150*((120+Parametri!C26-120)*1.15+Parametri!C25)+150*(Parametri!C26-120+120)*1.15*(1+Parametri!C45)+150*(Parametri!C26-120+120)*1.15*(1+Parametri!C45)^2))/(150*((120+Parametri!C26-120)*1.15+Parametri!C25)+150*(Parametri!C26-120+120)*1.15*(1+Parametri!C45)+150*(Parametri!C26-120+120)*1.15*(1+Parametri!C45)^2),"N/A")</f>
        <v>4.02576757661337</v>
      </c>
      <c r="F31" s="124" t="n">
        <f aca="false">IFERROR((ROUND(150*Parametri!C30,0)*Parametri!C34*Parametri!C43*(1+Parametri!C38+Parametri!C39)+ROUND(150*Parametri!C30,0)*Parametri!C47*Parametri!C46*Parametri!C48*(1+(1+Parametri!C45)+(1+Parametri!C45)^2)-(150*((150+Parametri!C26-120)*1.15+Parametri!C25)+150*(Parametri!C26-120+150)*1.15*(1+Parametri!C45)+150*(Parametri!C26-120+150)*1.15*(1+Parametri!C45)^2))/(150*((150+Parametri!C26-120)*1.15+Parametri!C25)+150*(Parametri!C26-120+150)*1.15*(1+Parametri!C45)+150*(Parametri!C26-120+150)*1.15*(1+Parametri!C45)^2),"N/A")</f>
        <v>3.71246115124024</v>
      </c>
      <c r="G31" s="124" t="n">
        <f aca="false">IFERROR((ROUND(150*Parametri!C30,0)*Parametri!C34*Parametri!C43*(1+Parametri!C38+Parametri!C39)+ROUND(150*Parametri!C30,0)*Parametri!C47*Parametri!C46*Parametri!C48*(1+(1+Parametri!C45)+(1+Parametri!C45)^2)-(150*((200+Parametri!C26-120)*1.15+Parametri!C25)+150*(Parametri!C26-120+200)*1.15*(1+Parametri!C45)+150*(Parametri!C26-120+200)*1.15*(1+Parametri!C45)^2))/(150*((200+Parametri!C26-120)*1.15+Parametri!C25)+150*(Parametri!C26-120+200)*1.15*(1+Parametri!C45)+150*(Parametri!C26-120+200)*1.15*(1+Parametri!C45)^2),"N/A")</f>
        <v>3.26892023332192</v>
      </c>
      <c r="H31" s="124" t="n">
        <f aca="false">IFERROR((ROUND(150*Parametri!C30,0)*Parametri!C34*Parametri!C43*(1+Parametri!C38+Parametri!C39)+ROUND(150*Parametri!C30,0)*Parametri!C47*Parametri!C46*Parametri!C48*(1+(1+Parametri!C45)+(1+Parametri!C45)^2)-(150*((250+Parametri!C26-120)*1.15+Parametri!C25)+150*(Parametri!C26-120+250)*1.15*(1+Parametri!C45)+150*(Parametri!C26-120+250)*1.15*(1+Parametri!C45)^2))/(150*((250+Parametri!C26-120)*1.15+Parametri!C25)+150*(Parametri!C26-120+250)*1.15*(1+Parametri!C45)+150*(Parametri!C26-120+250)*1.15*(1+Parametri!C45)^2),"N/A")</f>
        <v>2.90168981459621</v>
      </c>
    </row>
    <row r="32" customFormat="false" ht="19.5" hidden="false" customHeight="true" outlineLevel="0" collapsed="false">
      <c r="B32" s="123" t="n">
        <v>200</v>
      </c>
      <c r="C32" s="124" t="n">
        <f aca="false">IFERROR((ROUND(200*Parametri!C30,0)*Parametri!C34*Parametri!C43*(1+Parametri!C38+Parametri!C39)+ROUND(200*Parametri!C30,0)*Parametri!C47*Parametri!C46*Parametri!C48*(1+(1+Parametri!C45)+(1+Parametri!C45)^2)-(200*((60+Parametri!C26-120)*1.15+Parametri!C25)+200*(Parametri!C26-120+60)*1.15*(1+Parametri!C45)+200*(Parametri!C26-120+60)*1.15*(1+Parametri!C45)^2))/(200*((60+Parametri!C26-120)*1.15+Parametri!C25)+200*(Parametri!C26-120+60)*1.15*(1+Parametri!C45)+200*(Parametri!C26-120+60)*1.15*(1+Parametri!C45)^2),"N/A")</f>
        <v>4.7965280935883</v>
      </c>
      <c r="D32" s="124" t="n">
        <f aca="false">IFERROR((ROUND(200*Parametri!C30,0)*Parametri!C34*Parametri!C43*(1+Parametri!C38+Parametri!C39)+ROUND(200*Parametri!C30,0)*Parametri!C47*Parametri!C46*Parametri!C48*(1+(1+Parametri!C45)+(1+Parametri!C45)^2)-(200*((90+Parametri!C26-120)*1.15+Parametri!C25)+200*(Parametri!C26-120+90)*1.15*(1+Parametri!C45)+200*(Parametri!C26-120+90)*1.15*(1+Parametri!C45)^2))/(200*((90+Parametri!C26-120)*1.15+Parametri!C25)+200*(Parametri!C26-120+90)*1.15*(1+Parametri!C45)+200*(Parametri!C26-120+90)*1.15*(1+Parametri!C45)^2),"N/A")</f>
        <v>4.38370117347602</v>
      </c>
      <c r="E32" s="124" t="n">
        <f aca="false">IFERROR((ROUND(200*Parametri!C30,0)*Parametri!C34*Parametri!C43*(1+Parametri!C38+Parametri!C39)+ROUND(200*Parametri!C30,0)*Parametri!C47*Parametri!C46*Parametri!C48*(1+(1+Parametri!C45)+(1+Parametri!C45)^2)-(200*((120+Parametri!C26-120)*1.15+Parametri!C25)+200*(Parametri!C26-120+120)*1.15*(1+Parametri!C45)+200*(Parametri!C26-120+120)*1.15*(1+Parametri!C45)^2))/(200*((120+Parametri!C26-120)*1.15+Parametri!C25)+200*(Parametri!C26-120+120)*1.15*(1+Parametri!C45)+200*(Parametri!C26-120+120)*1.15*(1+Parametri!C45)^2),"N/A")</f>
        <v>4.02576757661337</v>
      </c>
      <c r="F32" s="124" t="n">
        <f aca="false">IFERROR((ROUND(200*Parametri!C30,0)*Parametri!C34*Parametri!C43*(1+Parametri!C38+Parametri!C39)+ROUND(200*Parametri!C30,0)*Parametri!C47*Parametri!C46*Parametri!C48*(1+(1+Parametri!C45)+(1+Parametri!C45)^2)-(200*((150+Parametri!C26-120)*1.15+Parametri!C25)+200*(Parametri!C26-120+150)*1.15*(1+Parametri!C45)+200*(Parametri!C26-120+150)*1.15*(1+Parametri!C45)^2))/(200*((150+Parametri!C26-120)*1.15+Parametri!C25)+200*(Parametri!C26-120+150)*1.15*(1+Parametri!C45)+200*(Parametri!C26-120+150)*1.15*(1+Parametri!C45)^2),"N/A")</f>
        <v>3.71246115124024</v>
      </c>
      <c r="G32" s="124" t="n">
        <f aca="false">IFERROR((ROUND(200*Parametri!C30,0)*Parametri!C34*Parametri!C43*(1+Parametri!C38+Parametri!C39)+ROUND(200*Parametri!C30,0)*Parametri!C47*Parametri!C46*Parametri!C48*(1+(1+Parametri!C45)+(1+Parametri!C45)^2)-(200*((200+Parametri!C26-120)*1.15+Parametri!C25)+200*(Parametri!C26-120+200)*1.15*(1+Parametri!C45)+200*(Parametri!C26-120+200)*1.15*(1+Parametri!C45)^2))/(200*((200+Parametri!C26-120)*1.15+Parametri!C25)+200*(Parametri!C26-120+200)*1.15*(1+Parametri!C45)+200*(Parametri!C26-120+200)*1.15*(1+Parametri!C45)^2),"N/A")</f>
        <v>3.26892023332192</v>
      </c>
      <c r="H32" s="124" t="n">
        <f aca="false">IFERROR((ROUND(200*Parametri!C30,0)*Parametri!C34*Parametri!C43*(1+Parametri!C38+Parametri!C39)+ROUND(200*Parametri!C30,0)*Parametri!C47*Parametri!C46*Parametri!C48*(1+(1+Parametri!C45)+(1+Parametri!C45)^2)-(200*((250+Parametri!C26-120)*1.15+Parametri!C25)+200*(Parametri!C26-120+250)*1.15*(1+Parametri!C45)+200*(Parametri!C26-120+250)*1.15*(1+Parametri!C45)^2))/(200*((250+Parametri!C26-120)*1.15+Parametri!C25)+200*(Parametri!C26-120+250)*1.15*(1+Parametri!C45)+200*(Parametri!C26-120+250)*1.15*(1+Parametri!C45)^2),"N/A")</f>
        <v>2.90168981459621</v>
      </c>
    </row>
    <row r="33" customFormat="false" ht="19.5" hidden="false" customHeight="true" outlineLevel="0" collapsed="false">
      <c r="B33" s="123" t="n">
        <v>300</v>
      </c>
      <c r="C33" s="124" t="n">
        <f aca="false">IFERROR((ROUND(300*Parametri!C30,0)*Parametri!C34*Parametri!C43*(1+Parametri!C38+Parametri!C39)+ROUND(300*Parametri!C30,0)*Parametri!C47*Parametri!C46*Parametri!C48*(1+(1+Parametri!C45)+(1+Parametri!C45)^2)-(300*((60+Parametri!C26-120)*1.15+Parametri!C25)+300*(Parametri!C26-120+60)*1.15*(1+Parametri!C45)+300*(Parametri!C26-120+60)*1.15*(1+Parametri!C45)^2))/(300*((60+Parametri!C26-120)*1.15+Parametri!C25)+300*(Parametri!C26-120+60)*1.15*(1+Parametri!C45)+300*(Parametri!C26-120+60)*1.15*(1+Parametri!C45)^2),"N/A")</f>
        <v>4.7965280935883</v>
      </c>
      <c r="D33" s="124" t="n">
        <f aca="false">IFERROR((ROUND(300*Parametri!C30,0)*Parametri!C34*Parametri!C43*(1+Parametri!C38+Parametri!C39)+ROUND(300*Parametri!C30,0)*Parametri!C47*Parametri!C46*Parametri!C48*(1+(1+Parametri!C45)+(1+Parametri!C45)^2)-(300*((90+Parametri!C26-120)*1.15+Parametri!C25)+300*(Parametri!C26-120+90)*1.15*(1+Parametri!C45)+300*(Parametri!C26-120+90)*1.15*(1+Parametri!C45)^2))/(300*((90+Parametri!C26-120)*1.15+Parametri!C25)+300*(Parametri!C26-120+90)*1.15*(1+Parametri!C45)+300*(Parametri!C26-120+90)*1.15*(1+Parametri!C45)^2),"N/A")</f>
        <v>4.38370117347602</v>
      </c>
      <c r="E33" s="124" t="n">
        <f aca="false">IFERROR((ROUND(300*Parametri!C30,0)*Parametri!C34*Parametri!C43*(1+Parametri!C38+Parametri!C39)+ROUND(300*Parametri!C30,0)*Parametri!C47*Parametri!C46*Parametri!C48*(1+(1+Parametri!C45)+(1+Parametri!C45)^2)-(300*((120+Parametri!C26-120)*1.15+Parametri!C25)+300*(Parametri!C26-120+120)*1.15*(1+Parametri!C45)+300*(Parametri!C26-120+120)*1.15*(1+Parametri!C45)^2))/(300*((120+Parametri!C26-120)*1.15+Parametri!C25)+300*(Parametri!C26-120+120)*1.15*(1+Parametri!C45)+300*(Parametri!C26-120+120)*1.15*(1+Parametri!C45)^2),"N/A")</f>
        <v>4.02576757661337</v>
      </c>
      <c r="F33" s="124" t="n">
        <f aca="false">IFERROR((ROUND(300*Parametri!C30,0)*Parametri!C34*Parametri!C43*(1+Parametri!C38+Parametri!C39)+ROUND(300*Parametri!C30,0)*Parametri!C47*Parametri!C46*Parametri!C48*(1+(1+Parametri!C45)+(1+Parametri!C45)^2)-(300*((150+Parametri!C26-120)*1.15+Parametri!C25)+300*(Parametri!C26-120+150)*1.15*(1+Parametri!C45)+300*(Parametri!C26-120+150)*1.15*(1+Parametri!C45)^2))/(300*((150+Parametri!C26-120)*1.15+Parametri!C25)+300*(Parametri!C26-120+150)*1.15*(1+Parametri!C45)+300*(Parametri!C26-120+150)*1.15*(1+Parametri!C45)^2),"N/A")</f>
        <v>3.71246115124024</v>
      </c>
      <c r="G33" s="124" t="n">
        <f aca="false">IFERROR((ROUND(300*Parametri!C30,0)*Parametri!C34*Parametri!C43*(1+Parametri!C38+Parametri!C39)+ROUND(300*Parametri!C30,0)*Parametri!C47*Parametri!C46*Parametri!C48*(1+(1+Parametri!C45)+(1+Parametri!C45)^2)-(300*((200+Parametri!C26-120)*1.15+Parametri!C25)+300*(Parametri!C26-120+200)*1.15*(1+Parametri!C45)+300*(Parametri!C26-120+200)*1.15*(1+Parametri!C45)^2))/(300*((200+Parametri!C26-120)*1.15+Parametri!C25)+300*(Parametri!C26-120+200)*1.15*(1+Parametri!C45)+300*(Parametri!C26-120+200)*1.15*(1+Parametri!C45)^2),"N/A")</f>
        <v>3.26892023332192</v>
      </c>
      <c r="H33" s="124" t="n">
        <f aca="false">IFERROR((ROUND(300*Parametri!C30,0)*Parametri!C34*Parametri!C43*(1+Parametri!C38+Parametri!C39)+ROUND(300*Parametri!C30,0)*Parametri!C47*Parametri!C46*Parametri!C48*(1+(1+Parametri!C45)+(1+Parametri!C45)^2)-(300*((250+Parametri!C26-120)*1.15+Parametri!C25)+300*(Parametri!C26-120+250)*1.15*(1+Parametri!C45)+300*(Parametri!C26-120+250)*1.15*(1+Parametri!C45)^2))/(300*((250+Parametri!C26-120)*1.15+Parametri!C25)+300*(Parametri!C26-120+250)*1.15*(1+Parametri!C45)+300*(Parametri!C26-120+250)*1.15*(1+Parametri!C45)^2),"N/A")</f>
        <v>2.90168981459621</v>
      </c>
    </row>
    <row r="34" customFormat="false" ht="19.5" hidden="false" customHeight="true" outlineLevel="0" collapsed="false">
      <c r="B34" s="123" t="n">
        <v>500</v>
      </c>
      <c r="C34" s="124" t="n">
        <f aca="false">IFERROR((ROUND(500*Parametri!C30,0)*Parametri!C34*Parametri!C43*(1+Parametri!C38+Parametri!C39)+ROUND(500*Parametri!C30,0)*Parametri!C47*Parametri!C46*Parametri!C48*(1+(1+Parametri!C45)+(1+Parametri!C45)^2)-(500*((60+Parametri!C26-120)*1.15+Parametri!C25)+500*(Parametri!C26-120+60)*1.15*(1+Parametri!C45)+500*(Parametri!C26-120+60)*1.15*(1+Parametri!C45)^2))/(500*((60+Parametri!C26-120)*1.15+Parametri!C25)+500*(Parametri!C26-120+60)*1.15*(1+Parametri!C45)+500*(Parametri!C26-120+60)*1.15*(1+Parametri!C45)^2),"N/A")</f>
        <v>4.7965280935883</v>
      </c>
      <c r="D34" s="124" t="n">
        <f aca="false">IFERROR((ROUND(500*Parametri!C30,0)*Parametri!C34*Parametri!C43*(1+Parametri!C38+Parametri!C39)+ROUND(500*Parametri!C30,0)*Parametri!C47*Parametri!C46*Parametri!C48*(1+(1+Parametri!C45)+(1+Parametri!C45)^2)-(500*((90+Parametri!C26-120)*1.15+Parametri!C25)+500*(Parametri!C26-120+90)*1.15*(1+Parametri!C45)+500*(Parametri!C26-120+90)*1.15*(1+Parametri!C45)^2))/(500*((90+Parametri!C26-120)*1.15+Parametri!C25)+500*(Parametri!C26-120+90)*1.15*(1+Parametri!C45)+500*(Parametri!C26-120+90)*1.15*(1+Parametri!C45)^2),"N/A")</f>
        <v>4.38370117347602</v>
      </c>
      <c r="E34" s="124" t="n">
        <f aca="false">IFERROR((ROUND(500*Parametri!C30,0)*Parametri!C34*Parametri!C43*(1+Parametri!C38+Parametri!C39)+ROUND(500*Parametri!C30,0)*Parametri!C47*Parametri!C46*Parametri!C48*(1+(1+Parametri!C45)+(1+Parametri!C45)^2)-(500*((120+Parametri!C26-120)*1.15+Parametri!C25)+500*(Parametri!C26-120+120)*1.15*(1+Parametri!C45)+500*(Parametri!C26-120+120)*1.15*(1+Parametri!C45)^2))/(500*((120+Parametri!C26-120)*1.15+Parametri!C25)+500*(Parametri!C26-120+120)*1.15*(1+Parametri!C45)+500*(Parametri!C26-120+120)*1.15*(1+Parametri!C45)^2),"N/A")</f>
        <v>4.02576757661337</v>
      </c>
      <c r="F34" s="124" t="n">
        <f aca="false">IFERROR((ROUND(500*Parametri!C30,0)*Parametri!C34*Parametri!C43*(1+Parametri!C38+Parametri!C39)+ROUND(500*Parametri!C30,0)*Parametri!C47*Parametri!C46*Parametri!C48*(1+(1+Parametri!C45)+(1+Parametri!C45)^2)-(500*((150+Parametri!C26-120)*1.15+Parametri!C25)+500*(Parametri!C26-120+150)*1.15*(1+Parametri!C45)+500*(Parametri!C26-120+150)*1.15*(1+Parametri!C45)^2))/(500*((150+Parametri!C26-120)*1.15+Parametri!C25)+500*(Parametri!C26-120+150)*1.15*(1+Parametri!C45)+500*(Parametri!C26-120+150)*1.15*(1+Parametri!C45)^2),"N/A")</f>
        <v>3.71246115124024</v>
      </c>
      <c r="G34" s="124" t="n">
        <f aca="false">IFERROR((ROUND(500*Parametri!C30,0)*Parametri!C34*Parametri!C43*(1+Parametri!C38+Parametri!C39)+ROUND(500*Parametri!C30,0)*Parametri!C47*Parametri!C46*Parametri!C48*(1+(1+Parametri!C45)+(1+Parametri!C45)^2)-(500*((200+Parametri!C26-120)*1.15+Parametri!C25)+500*(Parametri!C26-120+200)*1.15*(1+Parametri!C45)+500*(Parametri!C26-120+200)*1.15*(1+Parametri!C45)^2))/(500*((200+Parametri!C26-120)*1.15+Parametri!C25)+500*(Parametri!C26-120+200)*1.15*(1+Parametri!C45)+500*(Parametri!C26-120+200)*1.15*(1+Parametri!C45)^2),"N/A")</f>
        <v>3.26892023332192</v>
      </c>
      <c r="H34" s="124" t="n">
        <f aca="false">IFERROR((ROUND(500*Parametri!C30,0)*Parametri!C34*Parametri!C43*(1+Parametri!C38+Parametri!C39)+ROUND(500*Parametri!C30,0)*Parametri!C47*Parametri!C46*Parametri!C48*(1+(1+Parametri!C45)+(1+Parametri!C45)^2)-(500*((250+Parametri!C26-120)*1.15+Parametri!C25)+500*(Parametri!C26-120+250)*1.15*(1+Parametri!C45)+500*(Parametri!C26-120+250)*1.15*(1+Parametri!C45)^2))/(500*((250+Parametri!C26-120)*1.15+Parametri!C25)+500*(Parametri!C26-120+250)*1.15*(1+Parametri!C45)+500*(Parametri!C26-120+250)*1.15*(1+Parametri!C45)^2),"N/A")</f>
        <v>2.90168981459621</v>
      </c>
    </row>
    <row r="35" customFormat="false" ht="19.5" hidden="false" customHeight="true" outlineLevel="0" collapsed="false">
      <c r="B35" s="123" t="n">
        <v>750</v>
      </c>
      <c r="C35" s="124" t="n">
        <f aca="false">IFERROR((ROUND(750*Parametri!C30,0)*Parametri!C34*Parametri!C43*(1+Parametri!C38+Parametri!C39)+ROUND(750*Parametri!C30,0)*Parametri!C47*Parametri!C46*Parametri!C48*(1+(1+Parametri!C45)+(1+Parametri!C45)^2)-(750*((60+Parametri!C26-120)*1.15+Parametri!C25)+750*(Parametri!C26-120+60)*1.15*(1+Parametri!C45)+750*(Parametri!C26-120+60)*1.15*(1+Parametri!C45)^2))/(750*((60+Parametri!C26-120)*1.15+Parametri!C25)+750*(Parametri!C26-120+60)*1.15*(1+Parametri!C45)+750*(Parametri!C26-120+60)*1.15*(1+Parametri!C45)^2),"N/A")</f>
        <v>4.7965280935883</v>
      </c>
      <c r="D35" s="124" t="n">
        <f aca="false">IFERROR((ROUND(750*Parametri!C30,0)*Parametri!C34*Parametri!C43*(1+Parametri!C38+Parametri!C39)+ROUND(750*Parametri!C30,0)*Parametri!C47*Parametri!C46*Parametri!C48*(1+(1+Parametri!C45)+(1+Parametri!C45)^2)-(750*((90+Parametri!C26-120)*1.15+Parametri!C25)+750*(Parametri!C26-120+90)*1.15*(1+Parametri!C45)+750*(Parametri!C26-120+90)*1.15*(1+Parametri!C45)^2))/(750*((90+Parametri!C26-120)*1.15+Parametri!C25)+750*(Parametri!C26-120+90)*1.15*(1+Parametri!C45)+750*(Parametri!C26-120+90)*1.15*(1+Parametri!C45)^2),"N/A")</f>
        <v>4.38370117347602</v>
      </c>
      <c r="E35" s="124" t="n">
        <f aca="false">IFERROR((ROUND(750*Parametri!C30,0)*Parametri!C34*Parametri!C43*(1+Parametri!C38+Parametri!C39)+ROUND(750*Parametri!C30,0)*Parametri!C47*Parametri!C46*Parametri!C48*(1+(1+Parametri!C45)+(1+Parametri!C45)^2)-(750*((120+Parametri!C26-120)*1.15+Parametri!C25)+750*(Parametri!C26-120+120)*1.15*(1+Parametri!C45)+750*(Parametri!C26-120+120)*1.15*(1+Parametri!C45)^2))/(750*((120+Parametri!C26-120)*1.15+Parametri!C25)+750*(Parametri!C26-120+120)*1.15*(1+Parametri!C45)+750*(Parametri!C26-120+120)*1.15*(1+Parametri!C45)^2),"N/A")</f>
        <v>4.02576757661337</v>
      </c>
      <c r="F35" s="124" t="n">
        <f aca="false">IFERROR((ROUND(750*Parametri!C30,0)*Parametri!C34*Parametri!C43*(1+Parametri!C38+Parametri!C39)+ROUND(750*Parametri!C30,0)*Parametri!C47*Parametri!C46*Parametri!C48*(1+(1+Parametri!C45)+(1+Parametri!C45)^2)-(750*((150+Parametri!C26-120)*1.15+Parametri!C25)+750*(Parametri!C26-120+150)*1.15*(1+Parametri!C45)+750*(Parametri!C26-120+150)*1.15*(1+Parametri!C45)^2))/(750*((150+Parametri!C26-120)*1.15+Parametri!C25)+750*(Parametri!C26-120+150)*1.15*(1+Parametri!C45)+750*(Parametri!C26-120+150)*1.15*(1+Parametri!C45)^2),"N/A")</f>
        <v>3.71246115124024</v>
      </c>
      <c r="G35" s="124" t="n">
        <f aca="false">IFERROR((ROUND(750*Parametri!C30,0)*Parametri!C34*Parametri!C43*(1+Parametri!C38+Parametri!C39)+ROUND(750*Parametri!C30,0)*Parametri!C47*Parametri!C46*Parametri!C48*(1+(1+Parametri!C45)+(1+Parametri!C45)^2)-(750*((200+Parametri!C26-120)*1.15+Parametri!C25)+750*(Parametri!C26-120+200)*1.15*(1+Parametri!C45)+750*(Parametri!C26-120+200)*1.15*(1+Parametri!C45)^2))/(750*((200+Parametri!C26-120)*1.15+Parametri!C25)+750*(Parametri!C26-120+200)*1.15*(1+Parametri!C45)+750*(Parametri!C26-120+200)*1.15*(1+Parametri!C45)^2),"N/A")</f>
        <v>3.26892023332192</v>
      </c>
      <c r="H35" s="124" t="n">
        <f aca="false">IFERROR((ROUND(750*Parametri!C30,0)*Parametri!C34*Parametri!C43*(1+Parametri!C38+Parametri!C39)+ROUND(750*Parametri!C30,0)*Parametri!C47*Parametri!C46*Parametri!C48*(1+(1+Parametri!C45)+(1+Parametri!C45)^2)-(750*((250+Parametri!C26-120)*1.15+Parametri!C25)+750*(Parametri!C26-120+250)*1.15*(1+Parametri!C45)+750*(Parametri!C26-120+250)*1.15*(1+Parametri!C45)^2))/(750*((250+Parametri!C26-120)*1.15+Parametri!C25)+750*(Parametri!C26-120+250)*1.15*(1+Parametri!C45)+750*(Parametri!C26-120+250)*1.15*(1+Parametri!C45)^2),"N/A")</f>
        <v>2.90168981459621</v>
      </c>
    </row>
  </sheetData>
  <mergeCells count="7">
    <mergeCell ref="B2:I2"/>
    <mergeCell ref="B3:I3"/>
    <mergeCell ref="B5:H5"/>
    <mergeCell ref="B15:H15"/>
    <mergeCell ref="B16:I16"/>
    <mergeCell ref="B26:H26"/>
    <mergeCell ref="B27:I27"/>
  </mergeCells>
  <conditionalFormatting sqref="C18:H24">
    <cfRule type="colorScale" priority="2">
      <colorScale>
        <cfvo type="num" val="0"/>
        <cfvo type="num" val="30000"/>
        <cfvo type="num" val="80000"/>
        <color rgb="FF63BE7B"/>
        <color rgb="FFFFEB84"/>
        <color rgb="FFF8696B"/>
      </colorScale>
    </cfRule>
  </conditionalFormatting>
  <conditionalFormatting sqref="C29:H35">
    <cfRule type="colorScale" priority="3">
      <colorScale>
        <cfvo type="num" val="-0.5"/>
        <cfvo type="num" val="0"/>
        <cfvo type="num" val="2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2026-06-26T19:04:46Z</dcterms:created>
  <dc:creator>openpyxl</dc:creator>
  <dc:description/>
  <dc:language>en-US</dc:language>
  <cp:lastModifiedBy/>
  <dcterms:modified xsi:type="dcterms:W3CDTF">2026-06-26T19:13:06Z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