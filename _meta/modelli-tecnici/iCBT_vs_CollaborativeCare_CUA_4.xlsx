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rametri" sheetId="2" state="visible" r:id="rId2"/>
    <sheet xmlns:r="http://schemas.openxmlformats.org/officeDocument/2006/relationships" name="Analisi_ICER" sheetId="3" state="visible" r:id="rId3"/>
    <sheet xmlns:r="http://schemas.openxmlformats.org/officeDocument/2006/relationships" name="ROI" sheetId="4" state="visible" r:id="rId4"/>
    <sheet xmlns:r="http://schemas.openxmlformats.org/officeDocument/2006/relationships" name="Sensibilità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\€#,##0.00"/>
    <numFmt numFmtId="165" formatCode="0.0%"/>
    <numFmt numFmtId="166" formatCode="#,##0.0"/>
    <numFmt numFmtId="167" formatCode="0.000"/>
    <numFmt numFmtId="168" formatCode="\€#,##0"/>
    <numFmt numFmtId="169" formatCode="0.0000"/>
    <numFmt numFmtId="170" formatCode="\+0.0%;\-0.0%;0.0%"/>
    <numFmt numFmtId="171" formatCode="\€#,##0;&quot;(€&quot;#,##0\);\-"/>
    <numFmt numFmtId="172" formatCode="#,##0.00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7A7974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8251D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sz val="11"/>
    </font>
    <font>
      <name val="Calibri"/>
      <charset val="1"/>
      <family val="0"/>
      <i val="1"/>
      <color rgb="FF437A22"/>
      <sz val="9"/>
    </font>
    <font>
      <name val="Calibri"/>
      <charset val="1"/>
      <family val="0"/>
      <color rgb="FF437A22"/>
      <sz val="11"/>
    </font>
    <font>
      <name val="Calibri"/>
      <charset val="1"/>
      <family val="0"/>
      <b val="1"/>
      <color rgb="FF28251D"/>
      <sz val="11"/>
    </font>
    <font>
      <name val="Calibri"/>
      <charset val="1"/>
      <family val="0"/>
      <b val="1"/>
      <color rgb="FF28251D"/>
      <sz val="12"/>
    </font>
    <font>
      <name val="Calibri"/>
      <charset val="1"/>
      <family val="0"/>
      <b val="1"/>
      <color rgb="FF20808D"/>
      <sz val="11"/>
    </font>
    <font>
      <name val="Calibri"/>
      <charset val="1"/>
      <family val="0"/>
      <b val="1"/>
      <color rgb="FFA84B2F"/>
      <sz val="11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0000FF"/>
      <sz val="14"/>
    </font>
    <font>
      <name val="Calibri"/>
      <charset val="1"/>
      <family val="0"/>
      <b val="1"/>
      <color rgb="FFFFFFFF"/>
      <sz val="12"/>
    </font>
  </fonts>
  <fills count="10">
    <fill>
      <patternFill/>
    </fill>
    <fill>
      <patternFill patternType="gray125"/>
    </fill>
    <fill>
      <patternFill patternType="solid">
        <fgColor rgb="FF1B474D"/>
        <bgColor rgb="FF28251D"/>
      </patternFill>
    </fill>
    <fill>
      <patternFill patternType="solid">
        <fgColor rgb="FF20808D"/>
        <bgColor rgb="FF008080"/>
      </patternFill>
    </fill>
    <fill>
      <patternFill patternType="solid">
        <fgColor rgb="FFA84B2F"/>
        <bgColor rgb="FF993366"/>
      </patternFill>
    </fill>
    <fill>
      <patternFill patternType="solid">
        <fgColor rgb="FFBCE2E7"/>
        <bgColor rgb="FFD4D1CA"/>
      </patternFill>
    </fill>
    <fill>
      <patternFill patternType="solid">
        <fgColor rgb="FFF5DDD8"/>
        <bgColor rgb="FFFFF3CC"/>
      </patternFill>
    </fill>
    <fill>
      <patternFill patternType="solid">
        <fgColor rgb="FFFFFFFF"/>
        <bgColor rgb="FFFFF3CC"/>
      </patternFill>
    </fill>
    <fill>
      <patternFill patternType="solid">
        <fgColor rgb="FFFFF3CC"/>
        <bgColor rgb="FFF5DDD8"/>
      </patternFill>
    </fill>
    <fill>
      <patternFill patternType="solid">
        <fgColor rgb="FFFFC553"/>
        <bgColor rgb="FFFFCC00"/>
      </patternFill>
    </fill>
  </fills>
  <borders count="5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bottom"/>
    </xf>
    <xf numFmtId="3" fontId="8" fillId="5" borderId="0" applyAlignment="1" pivotButton="0" quotePrefix="0" xfId="0">
      <alignment horizontal="right" vertical="bottom"/>
    </xf>
    <xf numFmtId="3" fontId="8" fillId="6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/>
    </xf>
    <xf numFmtId="0" fontId="7" fillId="7" borderId="0" applyAlignment="1" pivotButton="0" quotePrefix="0" xfId="0">
      <alignment horizontal="left" vertical="bottom"/>
    </xf>
    <xf numFmtId="9" fontId="8" fillId="5" borderId="0" applyAlignment="1" pivotButton="0" quotePrefix="0" xfId="0">
      <alignment horizontal="right" vertical="bottom"/>
    </xf>
    <xf numFmtId="9" fontId="8" fillId="6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164" fontId="8" fillId="5" borderId="0" applyAlignment="1" pivotButton="0" quotePrefix="0" xfId="0">
      <alignment horizontal="right" vertical="bottom"/>
    </xf>
    <xf numFmtId="164" fontId="8" fillId="6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left" vertical="bottom"/>
    </xf>
    <xf numFmtId="164" fontId="6" fillId="3" borderId="0" applyAlignment="1" pivotButton="0" quotePrefix="0" xfId="0">
      <alignment horizontal="right" vertical="bottom"/>
    </xf>
    <xf numFmtId="164" fontId="6" fillId="4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right" vertical="bottom"/>
    </xf>
    <xf numFmtId="165" fontId="8" fillId="6" borderId="0" applyAlignment="1" pivotButton="0" quotePrefix="0" xfId="0">
      <alignment horizontal="right" vertical="bottom"/>
    </xf>
    <xf numFmtId="166" fontId="8" fillId="5" borderId="0" applyAlignment="1" pivotButton="0" quotePrefix="0" xfId="0">
      <alignment horizontal="right" vertical="bottom"/>
    </xf>
    <xf numFmtId="166" fontId="8" fillId="6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 wrapText="1"/>
    </xf>
    <xf numFmtId="167" fontId="8" fillId="5" borderId="0" applyAlignment="1" pivotButton="0" quotePrefix="0" xfId="0">
      <alignment horizontal="right" vertical="bottom"/>
    </xf>
    <xf numFmtId="167" fontId="8" fillId="6" borderId="0" applyAlignment="1" pivotButton="0" quotePrefix="0" xfId="0">
      <alignment horizontal="right" vertical="bottom"/>
    </xf>
    <xf numFmtId="168" fontId="8" fillId="5" borderId="0" applyAlignment="1" pivotButton="0" quotePrefix="0" xfId="0">
      <alignment horizontal="right" vertical="bottom"/>
    </xf>
    <xf numFmtId="168" fontId="8" fillId="6" borderId="0" applyAlignment="1" pivotButton="0" quotePrefix="0" xfId="0">
      <alignment horizontal="right" vertical="bottom"/>
    </xf>
    <xf numFmtId="0" fontId="7" fillId="5" borderId="0" applyAlignment="1" pivotButton="0" quotePrefix="0" xfId="0">
      <alignment horizontal="left" vertical="center"/>
    </xf>
    <xf numFmtId="164" fontId="11" fillId="5" borderId="0" applyAlignment="1" pivotButton="0" quotePrefix="0" xfId="0">
      <alignment horizontal="right" vertical="bottom"/>
    </xf>
    <xf numFmtId="164" fontId="11" fillId="6" borderId="0" applyAlignment="1" pivotButton="0" quotePrefix="0" xfId="0">
      <alignment horizontal="right" vertical="bottom"/>
    </xf>
    <xf numFmtId="164" fontId="7" fillId="8" borderId="0" applyAlignment="1" pivotButton="0" quotePrefix="0" xfId="0">
      <alignment horizontal="right" vertical="bottom"/>
    </xf>
    <xf numFmtId="0" fontId="7" fillId="7" borderId="0" applyAlignment="1" pivotButton="0" quotePrefix="0" xfId="0">
      <alignment horizontal="left" vertical="center"/>
    </xf>
    <xf numFmtId="169" fontId="11" fillId="5" borderId="0" applyAlignment="1" pivotButton="0" quotePrefix="0" xfId="0">
      <alignment horizontal="right" vertical="bottom"/>
    </xf>
    <xf numFmtId="169" fontId="11" fillId="6" borderId="0" applyAlignment="1" pivotButton="0" quotePrefix="0" xfId="0">
      <alignment horizontal="right" vertical="bottom"/>
    </xf>
    <xf numFmtId="169" fontId="7" fillId="8" borderId="0" applyAlignment="1" pivotButton="0" quotePrefix="0" xfId="0">
      <alignment horizontal="right" vertical="bottom"/>
    </xf>
    <xf numFmtId="0" fontId="7" fillId="5" borderId="1" applyAlignment="1" pivotButton="0" quotePrefix="0" xfId="0">
      <alignment horizontal="left" vertical="center"/>
    </xf>
    <xf numFmtId="168" fontId="7" fillId="5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left" vertical="center"/>
    </xf>
    <xf numFmtId="169" fontId="7" fillId="7" borderId="1" applyAlignment="1" pivotButton="0" quotePrefix="0" xfId="0">
      <alignment horizontal="right" vertical="bottom"/>
    </xf>
    <xf numFmtId="0" fontId="12" fillId="8" borderId="1" applyAlignment="1" pivotButton="0" quotePrefix="0" xfId="0">
      <alignment horizontal="left" vertical="center"/>
    </xf>
    <xf numFmtId="168" fontId="12" fillId="8" borderId="1" applyAlignment="1" pivotButton="0" quotePrefix="0" xfId="0">
      <alignment horizontal="right" vertical="bottom"/>
    </xf>
    <xf numFmtId="49" fontId="12" fillId="8" borderId="1" applyAlignment="1" pivotButton="0" quotePrefix="0" xfId="0">
      <alignment horizontal="center" vertical="bottom"/>
    </xf>
    <xf numFmtId="165" fontId="7" fillId="7" borderId="1" applyAlignment="1" pivotButton="0" quotePrefix="0" xfId="0">
      <alignment horizontal="right" vertical="bottom"/>
    </xf>
    <xf numFmtId="165" fontId="8" fillId="5" borderId="1" applyAlignment="1" pivotButton="0" quotePrefix="0" xfId="0">
      <alignment horizontal="right" vertical="bottom"/>
    </xf>
    <xf numFmtId="0" fontId="12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168" fontId="6" fillId="3" borderId="0" applyAlignment="1" pivotButton="0" quotePrefix="0" xfId="0">
      <alignment horizontal="right" vertical="bottom"/>
    </xf>
    <xf numFmtId="168" fontId="6" fillId="4" borderId="0" applyAlignment="1" pivotButton="0" quotePrefix="0" xfId="0">
      <alignment horizontal="right" vertical="bottom"/>
    </xf>
    <xf numFmtId="168" fontId="11" fillId="5" borderId="0" applyAlignment="1" pivotButton="0" quotePrefix="0" xfId="0">
      <alignment horizontal="right" vertical="bottom"/>
    </xf>
    <xf numFmtId="168" fontId="11" fillId="6" borderId="0" applyAlignment="1" pivotButton="0" quotePrefix="0" xfId="0">
      <alignment horizontal="right" vertical="bottom"/>
    </xf>
    <xf numFmtId="165" fontId="11" fillId="5" borderId="0" applyAlignment="1" pivotButton="0" quotePrefix="0" xfId="0">
      <alignment horizontal="right" vertical="bottom"/>
    </xf>
    <xf numFmtId="165" fontId="11" fillId="6" borderId="0" applyAlignment="1" pivotButton="0" quotePrefix="0" xfId="0">
      <alignment horizontal="right" vertical="bottom"/>
    </xf>
    <xf numFmtId="168" fontId="0" fillId="5" borderId="0" applyAlignment="1" pivotButton="0" quotePrefix="0" xfId="0">
      <alignment horizontal="right" vertical="bottom"/>
    </xf>
    <xf numFmtId="168" fontId="12" fillId="8" borderId="0" applyAlignment="1" pivotButton="0" quotePrefix="0" xfId="0">
      <alignment horizontal="right" vertical="bottom"/>
    </xf>
    <xf numFmtId="165" fontId="12" fillId="8" borderId="0" applyAlignment="1" pivotButton="0" quotePrefix="0" xfId="0">
      <alignment horizontal="right" vertical="bottom"/>
    </xf>
    <xf numFmtId="166" fontId="11" fillId="5" borderId="0" applyAlignment="1" pivotButton="0" quotePrefix="0" xfId="0">
      <alignment horizontal="right" vertical="bottom"/>
    </xf>
    <xf numFmtId="166" fontId="11" fillId="6" borderId="0" applyAlignment="1" pivotButton="0" quotePrefix="0" xfId="0">
      <alignment horizontal="right" vertical="bottom"/>
    </xf>
    <xf numFmtId="3" fontId="7" fillId="5" borderId="0" applyAlignment="1" pivotButton="0" quotePrefix="0" xfId="0">
      <alignment horizontal="right" vertical="bottom"/>
    </xf>
    <xf numFmtId="3" fontId="7" fillId="6" borderId="0" applyAlignment="1" pivotButton="0" quotePrefix="0" xfId="0">
      <alignment horizontal="right" vertical="bottom"/>
    </xf>
    <xf numFmtId="165" fontId="7" fillId="5" borderId="0" applyAlignment="1" pivotButton="0" quotePrefix="0" xfId="0">
      <alignment horizontal="right" vertical="bottom"/>
    </xf>
    <xf numFmtId="165" fontId="7" fillId="6" borderId="0" applyAlignment="1" pivotButton="0" quotePrefix="0" xfId="0">
      <alignment horizontal="right" vertical="bottom"/>
    </xf>
    <xf numFmtId="0" fontId="12" fillId="8" borderId="0" applyAlignment="1" pivotButton="0" quotePrefix="0" xfId="0">
      <alignment horizontal="center" vertical="bottom"/>
    </xf>
    <xf numFmtId="168" fontId="8" fillId="7" borderId="0" applyAlignment="1" pivotButton="0" quotePrefix="0" xfId="0">
      <alignment horizontal="right" vertical="bottom"/>
    </xf>
    <xf numFmtId="164" fontId="7" fillId="5" borderId="0" applyAlignment="1" pivotButton="0" quotePrefix="0" xfId="0">
      <alignment horizontal="right" vertical="bottom"/>
    </xf>
    <xf numFmtId="170" fontId="8" fillId="5" borderId="0" applyAlignment="1" pivotButton="0" quotePrefix="0" xfId="0">
      <alignment horizontal="right" vertical="bottom"/>
    </xf>
    <xf numFmtId="171" fontId="7" fillId="5" borderId="0" applyAlignment="1" pivotButton="0" quotePrefix="0" xfId="0">
      <alignment horizontal="right" vertical="bottom"/>
    </xf>
    <xf numFmtId="168" fontId="7" fillId="8" borderId="0" applyAlignment="1" pivotButton="0" quotePrefix="0" xfId="0">
      <alignment horizontal="right" vertical="bottom"/>
    </xf>
    <xf numFmtId="170" fontId="7" fillId="5" borderId="0" applyAlignment="1" pivotButton="0" quotePrefix="0" xfId="0">
      <alignment horizontal="right" vertical="bottom"/>
    </xf>
    <xf numFmtId="0" fontId="12" fillId="5" borderId="0" applyAlignment="1" pivotButton="0" quotePrefix="0" xfId="0">
      <alignment horizontal="center" vertical="bottom"/>
    </xf>
    <xf numFmtId="164" fontId="7" fillId="7" borderId="0" applyAlignment="1" pivotButton="0" quotePrefix="0" xfId="0">
      <alignment horizontal="right" vertical="bottom"/>
    </xf>
    <xf numFmtId="170" fontId="8" fillId="7" borderId="0" applyAlignment="1" pivotButton="0" quotePrefix="0" xfId="0">
      <alignment horizontal="right" vertical="bottom"/>
    </xf>
    <xf numFmtId="171" fontId="7" fillId="7" borderId="0" applyAlignment="1" pivotButton="0" quotePrefix="0" xfId="0">
      <alignment horizontal="right" vertical="bottom"/>
    </xf>
    <xf numFmtId="169" fontId="11" fillId="7" borderId="0" applyAlignment="1" pivotButton="0" quotePrefix="0" xfId="0">
      <alignment horizontal="right" vertical="bottom"/>
    </xf>
    <xf numFmtId="170" fontId="7" fillId="7" borderId="0" applyAlignment="1" pivotButton="0" quotePrefix="0" xfId="0">
      <alignment horizontal="right" vertical="bottom"/>
    </xf>
    <xf numFmtId="0" fontId="12" fillId="7" borderId="0" applyAlignment="1" pivotButton="0" quotePrefix="0" xfId="0">
      <alignment horizontal="center" vertical="bottom"/>
    </xf>
    <xf numFmtId="164" fontId="14" fillId="5" borderId="0" applyAlignment="1" pivotButton="0" quotePrefix="0" xfId="0">
      <alignment horizontal="right" vertical="bottom"/>
    </xf>
    <xf numFmtId="169" fontId="7" fillId="6" borderId="0" applyAlignment="1" pivotButton="0" quotePrefix="0" xfId="0">
      <alignment horizontal="right" vertical="bottom"/>
    </xf>
    <xf numFmtId="169" fontId="7" fillId="5" borderId="0" applyAlignment="1" pivotButton="0" quotePrefix="0" xfId="0">
      <alignment horizontal="right" vertical="bottom"/>
    </xf>
    <xf numFmtId="165" fontId="7" fillId="7" borderId="0" applyAlignment="1" pivotButton="0" quotePrefix="0" xfId="0">
      <alignment horizontal="right" vertical="bottom"/>
    </xf>
    <xf numFmtId="169" fontId="7" fillId="7" borderId="0" applyAlignment="1" pivotButton="0" quotePrefix="0" xfId="0">
      <alignment horizontal="right" vertical="bottom"/>
    </xf>
    <xf numFmtId="165" fontId="15" fillId="6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bottom"/>
    </xf>
    <xf numFmtId="168" fontId="6" fillId="3" borderId="0" applyAlignment="1" pivotButton="0" quotePrefix="0" xfId="0">
      <alignment horizontal="center" vertical="bottom"/>
    </xf>
    <xf numFmtId="168" fontId="7" fillId="5" borderId="0" applyAlignment="1" pivotButton="0" quotePrefix="0" xfId="0">
      <alignment horizontal="right" vertical="bottom"/>
    </xf>
    <xf numFmtId="168" fontId="7" fillId="7" borderId="0" applyAlignment="1" pivotButton="0" quotePrefix="0" xfId="0">
      <alignment horizontal="right" vertical="bottom"/>
    </xf>
    <xf numFmtId="172" fontId="8" fillId="5" borderId="0" applyAlignment="1" pivotButton="0" quotePrefix="0" xfId="0">
      <alignment horizontal="right" vertical="bottom"/>
    </xf>
    <xf numFmtId="172" fontId="12" fillId="5" borderId="0" applyAlignment="1" pivotButton="0" quotePrefix="0" xfId="0">
      <alignment horizontal="right" vertical="bottom"/>
    </xf>
    <xf numFmtId="172" fontId="8" fillId="6" borderId="0" applyAlignment="1" pivotButton="0" quotePrefix="0" xfId="0">
      <alignment horizontal="right" vertical="bottom"/>
    </xf>
    <xf numFmtId="168" fontId="7" fillId="6" borderId="0" applyAlignment="1" pivotButton="0" quotePrefix="0" xfId="0">
      <alignment horizontal="right" vertical="bottom"/>
    </xf>
    <xf numFmtId="172" fontId="12" fillId="7" borderId="0" applyAlignment="1" pivotButton="0" quotePrefix="0" xfId="0">
      <alignment horizontal="right" vertical="bottom"/>
    </xf>
    <xf numFmtId="168" fontId="5" fillId="8" borderId="0" applyAlignment="1" pivotButton="0" quotePrefix="0" xfId="0">
      <alignment horizontal="left" vertical="bottom" wrapText="1"/>
    </xf>
    <xf numFmtId="0" fontId="16" fillId="2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 wrapText="1"/>
    </xf>
    <xf numFmtId="168" fontId="17" fillId="9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3" fontId="11" fillId="5" borderId="0" applyAlignment="1" pivotButton="0" quotePrefix="0" xfId="0">
      <alignment horizontal="right" vertical="bottom"/>
    </xf>
    <xf numFmtId="3" fontId="11" fillId="6" borderId="0" applyAlignment="1" pivotButton="0" quotePrefix="0" xfId="0">
      <alignment horizontal="right" vertical="bottom"/>
    </xf>
    <xf numFmtId="3" fontId="7" fillId="8" borderId="0" applyAlignment="1" pivotButton="0" quotePrefix="0" xfId="0">
      <alignment horizontal="right" vertical="bottom"/>
    </xf>
    <xf numFmtId="0" fontId="5" fillId="7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right" vertical="bottom"/>
    </xf>
    <xf numFmtId="166" fontId="7" fillId="8" borderId="0" applyAlignment="1" pivotButton="0" quotePrefix="0" xfId="0">
      <alignment horizontal="right" vertical="bottom"/>
    </xf>
    <xf numFmtId="0" fontId="7" fillId="8" borderId="0" applyAlignment="1" pivotButton="0" quotePrefix="0" xfId="0">
      <alignment horizontal="right" vertical="bottom"/>
    </xf>
    <xf numFmtId="49" fontId="11" fillId="5" borderId="0" applyAlignment="1" pivotButton="0" quotePrefix="0" xfId="0">
      <alignment horizontal="right" vertical="bottom"/>
    </xf>
    <xf numFmtId="49" fontId="7" fillId="6" borderId="0" applyAlignment="1" pivotButton="0" quotePrefix="0" xfId="0">
      <alignment horizontal="right" vertical="bottom"/>
    </xf>
    <xf numFmtId="0" fontId="18" fillId="2" borderId="0" applyAlignment="1" pivotButton="0" quotePrefix="0" xfId="0">
      <alignment horizontal="center" vertical="center" wrapText="1"/>
    </xf>
    <xf numFmtId="2" fontId="7" fillId="5" borderId="0" applyAlignment="1" pivotButton="0" quotePrefix="0" xfId="0">
      <alignment horizontal="right" vertical="bottom"/>
    </xf>
    <xf numFmtId="2" fontId="7" fillId="6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13" fillId="9" borderId="0" applyAlignment="1" pivotButton="0" quotePrefix="0" xfId="0">
      <alignment horizontal="center" vertical="center" wrapText="1"/>
    </xf>
    <xf numFmtId="168" fontId="17" fillId="9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/>
    </xf>
    <xf numFmtId="164" fontId="11" fillId="5" borderId="0" applyAlignment="1" pivotButton="0" quotePrefix="0" xfId="0">
      <alignment horizontal="right" vertical="bottom"/>
    </xf>
    <xf numFmtId="164" fontId="11" fillId="6" borderId="0" applyAlignment="1" pivotButton="0" quotePrefix="0" xfId="0">
      <alignment horizontal="right" vertical="bottom"/>
    </xf>
    <xf numFmtId="164" fontId="7" fillId="8" borderId="0" applyAlignment="1" pivotButton="0" quotePrefix="0" xfId="0">
      <alignment horizontal="right" vertical="bottom"/>
    </xf>
    <xf numFmtId="0" fontId="12" fillId="5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3" fontId="11" fillId="5" borderId="0" applyAlignment="1" pivotButton="0" quotePrefix="0" xfId="0">
      <alignment horizontal="right" vertical="bottom"/>
    </xf>
    <xf numFmtId="3" fontId="11" fillId="6" borderId="0" applyAlignment="1" pivotButton="0" quotePrefix="0" xfId="0">
      <alignment horizontal="right" vertical="bottom"/>
    </xf>
    <xf numFmtId="3" fontId="7" fillId="8" borderId="0" applyAlignment="1" pivotButton="0" quotePrefix="0" xfId="0">
      <alignment horizontal="right" vertical="bottom"/>
    </xf>
    <xf numFmtId="0" fontId="12" fillId="7" borderId="0" applyAlignment="1" pivotButton="0" quotePrefix="0" xfId="0">
      <alignment horizontal="center" vertical="bottom"/>
    </xf>
    <xf numFmtId="0" fontId="5" fillId="7" borderId="0" applyAlignment="1" pivotButton="0" quotePrefix="0" xfId="0">
      <alignment horizontal="left" vertical="center"/>
    </xf>
    <xf numFmtId="169" fontId="11" fillId="5" borderId="0" applyAlignment="1" pivotButton="0" quotePrefix="0" xfId="0">
      <alignment horizontal="right" vertical="bottom"/>
    </xf>
    <xf numFmtId="169" fontId="11" fillId="6" borderId="0" applyAlignment="1" pivotButton="0" quotePrefix="0" xfId="0">
      <alignment horizontal="right" vertical="bottom"/>
    </xf>
    <xf numFmtId="169" fontId="7" fillId="8" borderId="0" applyAlignment="1" pivotButton="0" quotePrefix="0" xfId="0">
      <alignment horizontal="right" vertical="bottom"/>
    </xf>
    <xf numFmtId="165" fontId="11" fillId="5" borderId="0" applyAlignment="1" pivotButton="0" quotePrefix="0" xfId="0">
      <alignment horizontal="right" vertical="bottom"/>
    </xf>
    <xf numFmtId="165" fontId="11" fillId="6" borderId="0" applyAlignment="1" pivotButton="0" quotePrefix="0" xfId="0">
      <alignment horizontal="right" vertical="bottom"/>
    </xf>
    <xf numFmtId="165" fontId="7" fillId="8" borderId="0" applyAlignment="1" pivotButton="0" quotePrefix="0" xfId="0">
      <alignment horizontal="right" vertical="bottom"/>
    </xf>
    <xf numFmtId="166" fontId="11" fillId="5" borderId="0" applyAlignment="1" pivotButton="0" quotePrefix="0" xfId="0">
      <alignment horizontal="right" vertical="bottom"/>
    </xf>
    <xf numFmtId="166" fontId="11" fillId="6" borderId="0" applyAlignment="1" pivotButton="0" quotePrefix="0" xfId="0">
      <alignment horizontal="right" vertical="bottom"/>
    </xf>
    <xf numFmtId="166" fontId="7" fillId="8" borderId="0" applyAlignment="1" pivotButton="0" quotePrefix="0" xfId="0">
      <alignment horizontal="right" vertical="bottom"/>
    </xf>
    <xf numFmtId="168" fontId="11" fillId="5" borderId="0" applyAlignment="1" pivotButton="0" quotePrefix="0" xfId="0">
      <alignment horizontal="right" vertical="bottom"/>
    </xf>
    <xf numFmtId="168" fontId="7" fillId="6" borderId="0" applyAlignment="1" pivotButton="0" quotePrefix="0" xfId="0">
      <alignment horizontal="right" vertical="bottom"/>
    </xf>
    <xf numFmtId="0" fontId="7" fillId="8" borderId="0" applyAlignment="1" pivotButton="0" quotePrefix="0" xfId="0">
      <alignment horizontal="right" vertical="bottom"/>
    </xf>
    <xf numFmtId="49" fontId="11" fillId="5" borderId="0" applyAlignment="1" pivotButton="0" quotePrefix="0" xfId="0">
      <alignment horizontal="right" vertical="bottom"/>
    </xf>
    <xf numFmtId="49" fontId="7" fillId="6" borderId="0" applyAlignment="1" pivotButton="0" quotePrefix="0" xfId="0">
      <alignment horizontal="right" vertical="bottom"/>
    </xf>
    <xf numFmtId="0" fontId="18" fillId="2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/>
    </xf>
    <xf numFmtId="168" fontId="8" fillId="5" borderId="0" applyAlignment="1" pivotButton="0" quotePrefix="0" xfId="0">
      <alignment horizontal="right" vertical="bottom"/>
    </xf>
    <xf numFmtId="3" fontId="7" fillId="5" borderId="0" applyAlignment="1" pivotButton="0" quotePrefix="0" xfId="0">
      <alignment horizontal="right" vertical="bottom"/>
    </xf>
    <xf numFmtId="3" fontId="7" fillId="6" borderId="0" applyAlignment="1" pivotButton="0" quotePrefix="0" xfId="0">
      <alignment horizontal="right" vertical="bottom"/>
    </xf>
    <xf numFmtId="2" fontId="7" fillId="5" borderId="0" applyAlignment="1" pivotButton="0" quotePrefix="0" xfId="0">
      <alignment horizontal="right" vertical="bottom"/>
    </xf>
    <xf numFmtId="2" fontId="7" fillId="6" borderId="0" applyAlignment="1" pivotButton="0" quotePrefix="0" xfId="0">
      <alignment horizontal="right" vertical="bottom"/>
    </xf>
    <xf numFmtId="0" fontId="12" fillId="8" borderId="0" applyAlignment="1" pivotButton="0" quotePrefix="0" xfId="0">
      <alignment horizontal="center" vertical="bottom"/>
    </xf>
    <xf numFmtId="0" fontId="12" fillId="7" borderId="0" applyAlignment="1" pivotButton="0" quotePrefix="0" xfId="0">
      <alignment horizontal="left" vertical="center"/>
    </xf>
    <xf numFmtId="168" fontId="8" fillId="7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 wrapText="1"/>
    </xf>
    <xf numFmtId="0" fontId="4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bottom"/>
    </xf>
    <xf numFmtId="3" fontId="8" fillId="5" borderId="0" applyAlignment="1" pivotButton="0" quotePrefix="0" xfId="0">
      <alignment horizontal="right" vertical="bottom"/>
    </xf>
    <xf numFmtId="3" fontId="8" fillId="6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left" vertical="bottom"/>
    </xf>
    <xf numFmtId="0" fontId="7" fillId="7" borderId="0" applyAlignment="1" pivotButton="0" quotePrefix="0" xfId="0">
      <alignment horizontal="left" vertical="bottom"/>
    </xf>
    <xf numFmtId="9" fontId="8" fillId="5" borderId="0" applyAlignment="1" pivotButton="0" quotePrefix="0" xfId="0">
      <alignment horizontal="right" vertical="bottom"/>
    </xf>
    <xf numFmtId="9" fontId="8" fillId="6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164" fontId="8" fillId="5" borderId="0" applyAlignment="1" pivotButton="0" quotePrefix="0" xfId="0">
      <alignment horizontal="right" vertical="bottom"/>
    </xf>
    <xf numFmtId="164" fontId="8" fillId="6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left" vertical="bottom"/>
    </xf>
    <xf numFmtId="164" fontId="6" fillId="3" borderId="0" applyAlignment="1" pivotButton="0" quotePrefix="0" xfId="0">
      <alignment horizontal="right" vertical="bottom"/>
    </xf>
    <xf numFmtId="164" fontId="6" fillId="4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right" vertical="bottom"/>
    </xf>
    <xf numFmtId="165" fontId="8" fillId="6" borderId="0" applyAlignment="1" pivotButton="0" quotePrefix="0" xfId="0">
      <alignment horizontal="right" vertical="bottom"/>
    </xf>
    <xf numFmtId="166" fontId="8" fillId="5" borderId="0" applyAlignment="1" pivotButton="0" quotePrefix="0" xfId="0">
      <alignment horizontal="right" vertical="bottom"/>
    </xf>
    <xf numFmtId="166" fontId="8" fillId="6" borderId="0" applyAlignment="1" pivotButton="0" quotePrefix="0" xfId="0">
      <alignment horizontal="right" vertical="bottom"/>
    </xf>
    <xf numFmtId="167" fontId="8" fillId="5" borderId="0" applyAlignment="1" pivotButton="0" quotePrefix="0" xfId="0">
      <alignment horizontal="right" vertical="bottom"/>
    </xf>
    <xf numFmtId="167" fontId="8" fillId="6" borderId="0" applyAlignment="1" pivotButton="0" quotePrefix="0" xfId="0">
      <alignment horizontal="right" vertical="bottom"/>
    </xf>
    <xf numFmtId="168" fontId="8" fillId="6" borderId="0" applyAlignment="1" pivotButton="0" quotePrefix="0" xfId="0">
      <alignment horizontal="right" vertical="bottom"/>
    </xf>
    <xf numFmtId="0" fontId="7" fillId="5" borderId="1" applyAlignment="1" pivotButton="0" quotePrefix="0" xfId="0">
      <alignment horizontal="left" vertical="center"/>
    </xf>
    <xf numFmtId="168" fontId="7" fillId="5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left" vertical="bottom" wrapText="1"/>
    </xf>
    <xf numFmtId="0" fontId="0" fillId="0" borderId="4" pivotButton="0" quotePrefix="0" xfId="0"/>
    <xf numFmtId="0" fontId="7" fillId="7" borderId="1" applyAlignment="1" pivotButton="0" quotePrefix="0" xfId="0">
      <alignment horizontal="left" vertical="center"/>
    </xf>
    <xf numFmtId="169" fontId="7" fillId="7" borderId="1" applyAlignment="1" pivotButton="0" quotePrefix="0" xfId="0">
      <alignment horizontal="right" vertical="bottom"/>
    </xf>
    <xf numFmtId="0" fontId="12" fillId="8" borderId="1" applyAlignment="1" pivotButton="0" quotePrefix="0" xfId="0">
      <alignment horizontal="left" vertical="center"/>
    </xf>
    <xf numFmtId="168" fontId="12" fillId="8" borderId="1" applyAlignment="1" pivotButton="0" quotePrefix="0" xfId="0">
      <alignment horizontal="right" vertical="bottom"/>
    </xf>
    <xf numFmtId="49" fontId="12" fillId="8" borderId="1" applyAlignment="1" pivotButton="0" quotePrefix="0" xfId="0">
      <alignment horizontal="center" vertical="bottom"/>
    </xf>
    <xf numFmtId="165" fontId="7" fillId="7" borderId="1" applyAlignment="1" pivotButton="0" quotePrefix="0" xfId="0">
      <alignment horizontal="right" vertical="bottom"/>
    </xf>
    <xf numFmtId="165" fontId="8" fillId="5" borderId="1" applyAlignment="1" pivotButton="0" quotePrefix="0" xfId="0">
      <alignment horizontal="right" vertical="bottom"/>
    </xf>
    <xf numFmtId="0" fontId="7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168" fontId="6" fillId="3" borderId="0" applyAlignment="1" pivotButton="0" quotePrefix="0" xfId="0">
      <alignment horizontal="right" vertical="bottom"/>
    </xf>
    <xf numFmtId="168" fontId="6" fillId="4" borderId="0" applyAlignment="1" pivotButton="0" quotePrefix="0" xfId="0">
      <alignment horizontal="right" vertical="bottom"/>
    </xf>
    <xf numFmtId="168" fontId="11" fillId="6" borderId="0" applyAlignment="1" pivotButton="0" quotePrefix="0" xfId="0">
      <alignment horizontal="right" vertical="bottom"/>
    </xf>
    <xf numFmtId="168" fontId="0" fillId="5" borderId="0" applyAlignment="1" pivotButton="0" quotePrefix="0" xfId="0">
      <alignment horizontal="right" vertical="bottom"/>
    </xf>
    <xf numFmtId="168" fontId="12" fillId="8" borderId="0" applyAlignment="1" pivotButton="0" quotePrefix="0" xfId="0">
      <alignment horizontal="right" vertical="bottom"/>
    </xf>
    <xf numFmtId="165" fontId="12" fillId="8" borderId="0" applyAlignment="1" pivotButton="0" quotePrefix="0" xfId="0">
      <alignment horizontal="right" vertical="bottom"/>
    </xf>
    <xf numFmtId="165" fontId="7" fillId="5" borderId="0" applyAlignment="1" pivotButton="0" quotePrefix="0" xfId="0">
      <alignment horizontal="right" vertical="bottom"/>
    </xf>
    <xf numFmtId="165" fontId="7" fillId="6" borderId="0" applyAlignment="1" pivotButton="0" quotePrefix="0" xfId="0">
      <alignment horizontal="right" vertical="bottom"/>
    </xf>
    <xf numFmtId="164" fontId="7" fillId="5" borderId="0" applyAlignment="1" pivotButton="0" quotePrefix="0" xfId="0">
      <alignment horizontal="right" vertical="bottom"/>
    </xf>
    <xf numFmtId="170" fontId="8" fillId="5" borderId="0" applyAlignment="1" pivotButton="0" quotePrefix="0" xfId="0">
      <alignment horizontal="right" vertical="bottom"/>
    </xf>
    <xf numFmtId="171" fontId="7" fillId="5" borderId="0" applyAlignment="1" pivotButton="0" quotePrefix="0" xfId="0">
      <alignment horizontal="right" vertical="bottom"/>
    </xf>
    <xf numFmtId="168" fontId="7" fillId="8" borderId="0" applyAlignment="1" pivotButton="0" quotePrefix="0" xfId="0">
      <alignment horizontal="right" vertical="bottom"/>
    </xf>
    <xf numFmtId="170" fontId="7" fillId="5" borderId="0" applyAlignment="1" pivotButton="0" quotePrefix="0" xfId="0">
      <alignment horizontal="right" vertical="bottom"/>
    </xf>
    <xf numFmtId="164" fontId="7" fillId="7" borderId="0" applyAlignment="1" pivotButton="0" quotePrefix="0" xfId="0">
      <alignment horizontal="right" vertical="bottom"/>
    </xf>
    <xf numFmtId="170" fontId="8" fillId="7" borderId="0" applyAlignment="1" pivotButton="0" quotePrefix="0" xfId="0">
      <alignment horizontal="right" vertical="bottom"/>
    </xf>
    <xf numFmtId="171" fontId="7" fillId="7" borderId="0" applyAlignment="1" pivotButton="0" quotePrefix="0" xfId="0">
      <alignment horizontal="right" vertical="bottom"/>
    </xf>
    <xf numFmtId="169" fontId="11" fillId="7" borderId="0" applyAlignment="1" pivotButton="0" quotePrefix="0" xfId="0">
      <alignment horizontal="right" vertical="bottom"/>
    </xf>
    <xf numFmtId="170" fontId="7" fillId="7" borderId="0" applyAlignment="1" pivotButton="0" quotePrefix="0" xfId="0">
      <alignment horizontal="right" vertical="bottom"/>
    </xf>
    <xf numFmtId="164" fontId="14" fillId="5" borderId="0" applyAlignment="1" pivotButton="0" quotePrefix="0" xfId="0">
      <alignment horizontal="right" vertical="bottom"/>
    </xf>
    <xf numFmtId="169" fontId="7" fillId="6" borderId="0" applyAlignment="1" pivotButton="0" quotePrefix="0" xfId="0">
      <alignment horizontal="right" vertical="bottom"/>
    </xf>
    <xf numFmtId="169" fontId="7" fillId="5" borderId="0" applyAlignment="1" pivotButton="0" quotePrefix="0" xfId="0">
      <alignment horizontal="right" vertical="bottom"/>
    </xf>
    <xf numFmtId="165" fontId="7" fillId="7" borderId="0" applyAlignment="1" pivotButton="0" quotePrefix="0" xfId="0">
      <alignment horizontal="right" vertical="bottom"/>
    </xf>
    <xf numFmtId="169" fontId="7" fillId="7" borderId="0" applyAlignment="1" pivotButton="0" quotePrefix="0" xfId="0">
      <alignment horizontal="right" vertical="bottom"/>
    </xf>
    <xf numFmtId="165" fontId="15" fillId="6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bottom"/>
    </xf>
    <xf numFmtId="168" fontId="6" fillId="3" borderId="0" applyAlignment="1" pivotButton="0" quotePrefix="0" xfId="0">
      <alignment horizontal="center" vertical="bottom"/>
    </xf>
    <xf numFmtId="168" fontId="7" fillId="5" borderId="0" applyAlignment="1" pivotButton="0" quotePrefix="0" xfId="0">
      <alignment horizontal="right" vertical="bottom"/>
    </xf>
    <xf numFmtId="168" fontId="7" fillId="7" borderId="0" applyAlignment="1" pivotButton="0" quotePrefix="0" xfId="0">
      <alignment horizontal="right" vertical="bottom"/>
    </xf>
    <xf numFmtId="172" fontId="8" fillId="5" borderId="0" applyAlignment="1" pivotButton="0" quotePrefix="0" xfId="0">
      <alignment horizontal="right" vertical="bottom"/>
    </xf>
    <xf numFmtId="172" fontId="12" fillId="5" borderId="0" applyAlignment="1" pivotButton="0" quotePrefix="0" xfId="0">
      <alignment horizontal="right" vertical="bottom"/>
    </xf>
    <xf numFmtId="172" fontId="8" fillId="6" borderId="0" applyAlignment="1" pivotButton="0" quotePrefix="0" xfId="0">
      <alignment horizontal="right" vertical="bottom"/>
    </xf>
    <xf numFmtId="172" fontId="12" fillId="7" borderId="0" applyAlignment="1" pivotButton="0" quotePrefix="0" xfId="0">
      <alignment horizontal="right" vertical="bottom"/>
    </xf>
    <xf numFmtId="168" fontId="5" fillId="8" borderId="0" applyAlignment="1" pivotButton="0" quotePrefix="0" xfId="0">
      <alignment horizontal="lef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FF3CC"/>
      <rgbColor rgb="FFCCFFFF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DDD8"/>
      <rgbColor rgb="FF99CCFF"/>
      <rgbColor rgb="FFFF99CC"/>
      <rgbColor rgb="FFCC99FF"/>
      <rgbColor rgb="FFFFC55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74D"/>
      <rgbColor rgb="FF437A22"/>
      <rgbColor rgb="FF003300"/>
      <rgbColor rgb="FF333300"/>
      <rgbColor rgb="FFA84B2F"/>
      <rgbColor rgb="FF993366"/>
      <rgbColor rgb="FF333399"/>
      <rgbColor rgb="FF28251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20808D"/>
    <outlinePr summaryBelow="1" summaryRight="1"/>
    <pageSetUpPr fitToPage="0"/>
  </sheetPr>
  <dimension ref="B2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126" min="1" max="1"/>
    <col width="30" customWidth="1" style="126" min="2" max="2"/>
    <col width="20" customWidth="1" style="126" min="3" max="5"/>
    <col width="24" customWidth="1" style="126" min="6" max="6"/>
    <col width="30" customWidth="1" style="126" min="7" max="7"/>
  </cols>
  <sheetData>
    <row r="1" ht="7.5" customHeight="1" s="127"/>
    <row r="2" ht="36" customHeight="1" s="127">
      <c r="B2" s="128" t="inlineStr">
        <is>
          <t>DASHBOARD — Confronto iCBT vs Collaborative Care  |  Allocazione Risorse</t>
        </is>
      </c>
    </row>
    <row r="3" ht="15.75" customHeight="1" s="127">
      <c r="B3" s="129" t="inlineStr">
        <is>
          <t>Tutti i valori si aggiornano automaticamente modificando i Parametri. Inserire il budget disponibile nella cella F5.</t>
        </is>
      </c>
    </row>
    <row r="5" ht="27.75" customHeight="1" s="127">
      <c r="B5" s="130" t="inlineStr">
        <is>
          <t>BUDGET DISPONIBILE — Inserire qui</t>
        </is>
      </c>
      <c r="F5" s="131" t="n">
        <v>200000</v>
      </c>
      <c r="G5" s="132" t="inlineStr">
        <is>
          <t>← Modifica questo valore</t>
        </is>
      </c>
    </row>
    <row r="7" ht="21.75" customHeight="1" s="127">
      <c r="B7" s="133" t="inlineStr">
        <is>
          <t>INDICATORI CHIAVE DI PERFORMANCE (KPI)</t>
        </is>
      </c>
    </row>
    <row r="8" ht="21.75" customHeight="1" s="127">
      <c r="B8" s="133" t="inlineStr">
        <is>
          <t>KPI</t>
        </is>
      </c>
      <c r="C8" s="134" t="inlineStr">
        <is>
          <t>iCBT</t>
        </is>
      </c>
      <c r="D8" s="135" t="inlineStr">
        <is>
          <t>Collaborative Care</t>
        </is>
      </c>
      <c r="E8" s="133" t="inlineStr">
        <is>
          <t>Differenza</t>
        </is>
      </c>
      <c r="F8" s="133" t="inlineStr">
        <is>
          <t>Vantaggio</t>
        </is>
      </c>
      <c r="G8" s="133" t="inlineStr">
        <is>
          <t>Fonte calcolo</t>
        </is>
      </c>
    </row>
    <row r="9" ht="19.5" customHeight="1" s="127">
      <c r="B9" s="136" t="inlineStr">
        <is>
          <t>Costo per paziente (€)</t>
        </is>
      </c>
      <c r="C9" s="137">
        <f>Parametri!C23</f>
        <v/>
      </c>
      <c r="D9" s="138">
        <f>Parametri!D23</f>
        <v/>
      </c>
      <c r="E9" s="139">
        <f>D9-C9</f>
        <v/>
      </c>
      <c r="F9" s="140">
        <f>IF(E9="N/A","N/A",IF(E9&gt;0,"✓ iCBT meno costoso","✓ CC meno costoso"))</f>
        <v/>
      </c>
      <c r="G9" s="141" t="inlineStr">
        <is>
          <t>Parametri B</t>
        </is>
      </c>
    </row>
    <row r="10" ht="19.5" customHeight="1" s="127">
      <c r="B10" s="142" t="inlineStr">
        <is>
          <t>Pazienti trattabili (budget F5)</t>
        </is>
      </c>
      <c r="C10" s="143">
        <f>INT(F5/Parametri!C23)</f>
        <v/>
      </c>
      <c r="D10" s="144">
        <f>INT(F5/Parametri!D23)</f>
        <v/>
      </c>
      <c r="E10" s="145">
        <f>C10-D10</f>
        <v/>
      </c>
      <c r="F10" s="146">
        <f>IF(E10="N/A","N/A",IF(E10&gt;0,"✓ CC superiore","✓ iCBT superiore"))</f>
        <v/>
      </c>
      <c r="G10" s="147" t="inlineStr">
        <is>
          <t>Budget÷Costo</t>
        </is>
      </c>
    </row>
    <row r="11" ht="19.5" customHeight="1" s="127">
      <c r="B11" s="136" t="inlineStr">
        <is>
          <t>QALY/paz. anno 1</t>
        </is>
      </c>
      <c r="C11" s="148">
        <f>Parametri!C36</f>
        <v/>
      </c>
      <c r="D11" s="149">
        <f>Parametri!D36</f>
        <v/>
      </c>
      <c r="E11" s="150">
        <f>D11-C11</f>
        <v/>
      </c>
      <c r="F11" s="140">
        <f>IF(E11="N/A","N/A",IF(E11&gt;0,"✓ CC superiore","✓ iCBT superiore"))</f>
        <v/>
      </c>
      <c r="G11" s="141" t="inlineStr">
        <is>
          <t>Parametri D</t>
        </is>
      </c>
    </row>
    <row r="12" ht="19.5" customHeight="1" s="127">
      <c r="B12" s="142" t="inlineStr">
        <is>
          <t>QALY totali programma (3 anni)</t>
        </is>
      </c>
      <c r="C12" s="148">
        <f>Analisi_ICER!C18</f>
        <v/>
      </c>
      <c r="D12" s="149">
        <f>Analisi_ICER!D18</f>
        <v/>
      </c>
      <c r="E12" s="150">
        <f>D12-C12</f>
        <v/>
      </c>
      <c r="F12" s="146">
        <f>IF(E12="N/A","N/A",IF(E12&gt;0,"✓ CC superiore","✓ iCBT superiore"))</f>
        <v/>
      </c>
      <c r="G12" s="147" t="inlineStr">
        <is>
          <t>Analisi ICER B</t>
        </is>
      </c>
    </row>
    <row r="13" ht="19.5" customHeight="1" s="127">
      <c r="B13" s="136" t="inlineStr">
        <is>
          <t>Tasso risposta clinica PHQ-9</t>
        </is>
      </c>
      <c r="C13" s="151">
        <f>Parametri!C27</f>
        <v/>
      </c>
      <c r="D13" s="152">
        <f>Parametri!D27</f>
        <v/>
      </c>
      <c r="E13" s="153">
        <f>D13-C13</f>
        <v/>
      </c>
      <c r="F13" s="140">
        <f>IF(E13="N/A","N/A",IF(E13&gt;0,"✓ CC superiore","✓ iCBT superiore"))</f>
        <v/>
      </c>
      <c r="G13" s="141" t="inlineStr">
        <is>
          <t>Parametri C</t>
        </is>
      </c>
    </row>
    <row r="14" ht="19.5" customHeight="1" s="127">
      <c r="B14" s="142" t="inlineStr">
        <is>
          <t>Tasso remissione</t>
        </is>
      </c>
      <c r="C14" s="151">
        <f>Parametri!C28</f>
        <v/>
      </c>
      <c r="D14" s="152">
        <f>Parametri!D28</f>
        <v/>
      </c>
      <c r="E14" s="153">
        <f>D14-C14</f>
        <v/>
      </c>
      <c r="F14" s="146">
        <f>IF(E14="N/A","N/A",IF(E14&gt;0,"✓ CC superiore","✓ iCBT superiore"))</f>
        <v/>
      </c>
      <c r="G14" s="147" t="inlineStr">
        <is>
          <t>Parametri C</t>
        </is>
      </c>
    </row>
    <row r="15" ht="19.5" customHeight="1" s="127">
      <c r="B15" s="136" t="inlineStr">
        <is>
          <t>ROI a 12 mesi</t>
        </is>
      </c>
      <c r="C15" s="151">
        <f>ROI!E18</f>
        <v/>
      </c>
      <c r="D15" s="152">
        <f>ROI!F18</f>
        <v/>
      </c>
      <c r="E15" s="153">
        <f>D15-C15</f>
        <v/>
      </c>
      <c r="F15" s="140">
        <f>IF(E15="N/A","N/A",IF(E15&gt;0,"✓ CC ROI maggiore","✓ iCBT ROI maggiore"))</f>
        <v/>
      </c>
      <c r="G15" s="141" t="inlineStr">
        <is>
          <t>ROI B</t>
        </is>
      </c>
    </row>
    <row r="16" ht="19.5" customHeight="1" s="127">
      <c r="B16" s="142" t="inlineStr">
        <is>
          <t>ROI a 36 mesi</t>
        </is>
      </c>
      <c r="C16" s="151">
        <f>ROI!G24</f>
        <v/>
      </c>
      <c r="D16" s="152">
        <f>ROI!H24</f>
        <v/>
      </c>
      <c r="E16" s="153">
        <f>IFERROR(D16-C16,"N/A")</f>
        <v/>
      </c>
      <c r="F16" s="146">
        <f>IF(OR(C16="N/A",D16="N/A",E16="N/A"),"N/A",IF(E16&gt;0,"✓ CC ROI maggiore","✓ iCBT ROI maggiore"))</f>
        <v/>
      </c>
      <c r="G16" s="147" t="inlineStr">
        <is>
          <t>ROI B</t>
        </is>
      </c>
    </row>
    <row r="17" ht="19.5" customHeight="1" s="127">
      <c r="B17" s="136" t="inlineStr">
        <is>
          <t>Break-even (mesi)</t>
        </is>
      </c>
      <c r="C17" s="154">
        <f>ROI!G25</f>
        <v/>
      </c>
      <c r="D17" s="155">
        <f>ROI!H25</f>
        <v/>
      </c>
      <c r="E17" s="156">
        <f>IFERROR(D17-C17,"N/A")</f>
        <v/>
      </c>
      <c r="F17" s="140" t="inlineStr">
        <is>
          <t>Vedi ICER</t>
        </is>
      </c>
      <c r="G17" s="141" t="inlineStr">
        <is>
          <t>ROI B</t>
        </is>
      </c>
    </row>
    <row r="18" ht="19.5" customHeight="1" s="127">
      <c r="B18" s="142" t="inlineStr">
        <is>
          <t>ICER (€/QALY)</t>
        </is>
      </c>
      <c r="C18" s="157">
        <f>Analisi_ICER!C24</f>
        <v/>
      </c>
      <c r="D18" s="158" t="inlineStr">
        <is>
          <t>N/A</t>
        </is>
      </c>
      <c r="E18" s="159" t="inlineStr">
        <is>
          <t>N/A</t>
        </is>
      </c>
      <c r="F18" s="146">
        <f>IF(E18="N/A","N/A",IF(E18&gt;0,"✓ iCBT meno costoso","✓ CC meno costoso"))</f>
        <v/>
      </c>
      <c r="G18" s="147" t="inlineStr">
        <is>
          <t>Analisi ICER C</t>
        </is>
      </c>
    </row>
    <row r="19" ht="19.5" customHeight="1" s="127">
      <c r="B19" s="136" t="inlineStr">
        <is>
          <t>Verdetto cost-effectiveness</t>
        </is>
      </c>
      <c r="C19" s="160">
        <f>Analisi_ICER!C26</f>
        <v/>
      </c>
      <c r="D19" s="161" t="inlineStr">
        <is>
          <t>N/A</t>
        </is>
      </c>
      <c r="E19" s="159" t="inlineStr">
        <is>
          <t>N/A</t>
        </is>
      </c>
      <c r="F19" s="140" t="inlineStr">
        <is>
          <t>Vedi ICER</t>
        </is>
      </c>
      <c r="G19" s="141" t="inlineStr">
        <is>
          <t>Analisi ICER C</t>
        </is>
      </c>
    </row>
    <row r="21" ht="27.75" customHeight="1" s="127">
      <c r="B21" s="162" t="inlineStr">
        <is>
          <t>RACCOMANDAZIONE AUTOMATICA PER ALLOCAZIONE RISORSE</t>
        </is>
      </c>
    </row>
    <row r="22" ht="39.75" customHeight="1" s="127">
      <c r="B22" s="162">
        <f>IF(AND(INT(F5/Parametri!C23)&gt;INT(F5/Parametri!D23),Analisi_ICER!C26="✓ COST-EFFECTIVE"),"✓✓ RACCOMANDAZIONE: iCBT — Copre più pazienti con budget disponibile ed è cost-effective (ICER&lt;soglia)",IF(Analisi_ICER!C26="✓ COST-EFFECTIVE","✓ RACCOMANDAZIONE: Collaborative Care — Più efficace clinicamente; ICER nella soglia accettabile","⚠ ATTENZIONE: Nessun intervento è cost-effective ai parametri attuali — rivedere soglia WTP o efficacia"))</f>
        <v/>
      </c>
    </row>
    <row r="24" ht="21.75" customHeight="1" s="127">
      <c r="B24" s="133" t="inlineStr">
        <is>
          <t>MATRICE DI DECISIONE — Scenari Budget</t>
        </is>
      </c>
    </row>
    <row r="25" ht="21.75" customHeight="1" s="127">
      <c r="B25" s="133" t="inlineStr">
        <is>
          <t>Scenario Budget</t>
        </is>
      </c>
      <c r="C25" s="133" t="inlineStr">
        <is>
          <t>Budget (€)</t>
        </is>
      </c>
      <c r="D25" s="134" t="inlineStr">
        <is>
          <t>Paz. iCBT</t>
        </is>
      </c>
      <c r="E25" s="135" t="inlineStr">
        <is>
          <t>Paz. CC</t>
        </is>
      </c>
      <c r="F25" s="134" t="inlineStr">
        <is>
          <t>QALY totali iCBT</t>
        </is>
      </c>
      <c r="G25" s="135" t="inlineStr">
        <is>
          <t>QALY totali CC</t>
        </is>
      </c>
      <c r="H25" s="133" t="inlineStr">
        <is>
          <t>Scelta ottimale</t>
        </is>
      </c>
    </row>
    <row r="26" ht="19.5" customHeight="1" s="127">
      <c r="B26" s="163" t="inlineStr">
        <is>
          <t>Ristretto (€50k)</t>
        </is>
      </c>
      <c r="C26" s="164" t="n">
        <v>50000</v>
      </c>
      <c r="D26" s="165">
        <f>INT(C26/Parametri!C23)</f>
        <v/>
      </c>
      <c r="E26" s="166">
        <f>INT(C26/Parametri!D23)</f>
        <v/>
      </c>
      <c r="F26" s="167">
        <f>D26*Parametri!C36*Parametri!C34</f>
        <v/>
      </c>
      <c r="G26" s="168">
        <f>E26*Parametri!D36*Parametri!D34</f>
        <v/>
      </c>
      <c r="H26" s="169">
        <f>IF(AND(D26&gt;E26,F26&gt;G26),"✓✓ iCBT domina",IF(AND(D26&lt;E26,F26&lt;G26),"✓✓ CC domina",IF(D26&gt;E26,"iCBT: +pazienti","CC: +QALY")))</f>
        <v/>
      </c>
    </row>
    <row r="27" ht="19.5" customHeight="1" s="127">
      <c r="B27" s="170" t="inlineStr">
        <is>
          <t>Moderato (€100k)</t>
        </is>
      </c>
      <c r="C27" s="171" t="n">
        <v>100000</v>
      </c>
      <c r="D27" s="165">
        <f>INT(C27/Parametri!C23)</f>
        <v/>
      </c>
      <c r="E27" s="166">
        <f>INT(C27/Parametri!D23)</f>
        <v/>
      </c>
      <c r="F27" s="167">
        <f>D27*Parametri!C36*Parametri!C34</f>
        <v/>
      </c>
      <c r="G27" s="168">
        <f>E27*Parametri!D36*Parametri!D34</f>
        <v/>
      </c>
      <c r="H27" s="169">
        <f>IF(AND(D27&gt;E27,F27&gt;G27),"✓✓ iCBT domina",IF(AND(D27&lt;E27,F27&lt;G27),"✓✓ CC domina",IF(D27&gt;E27,"iCBT: +pazienti","CC: +QALY")))</f>
        <v/>
      </c>
    </row>
    <row r="28" ht="19.5" customHeight="1" s="127">
      <c r="B28" s="163" t="inlineStr">
        <is>
          <t>Standard (€200k)</t>
        </is>
      </c>
      <c r="C28" s="164" t="n">
        <v>200000</v>
      </c>
      <c r="D28" s="165">
        <f>INT(C28/Parametri!C23)</f>
        <v/>
      </c>
      <c r="E28" s="166">
        <f>INT(C28/Parametri!D23)</f>
        <v/>
      </c>
      <c r="F28" s="167">
        <f>D28*Parametri!C36*Parametri!C34</f>
        <v/>
      </c>
      <c r="G28" s="168">
        <f>E28*Parametri!D36*Parametri!D34</f>
        <v/>
      </c>
      <c r="H28" s="169">
        <f>IF(AND(D28&gt;E28,F28&gt;G28),"✓✓ iCBT domina",IF(AND(D28&lt;E28,F28&lt;G28),"✓✓ CC domina",IF(D28&gt;E28,"iCBT: +pazienti","CC: +QALY")))</f>
        <v/>
      </c>
    </row>
    <row r="29" ht="19.5" customHeight="1" s="127">
      <c r="B29" s="170" t="inlineStr">
        <is>
          <t>Ampio (€500k)</t>
        </is>
      </c>
      <c r="C29" s="171" t="n">
        <v>500000</v>
      </c>
      <c r="D29" s="165">
        <f>INT(C29/Parametri!C23)</f>
        <v/>
      </c>
      <c r="E29" s="166">
        <f>INT(C29/Parametri!D23)</f>
        <v/>
      </c>
      <c r="F29" s="167">
        <f>D29*Parametri!C36*Parametri!C34</f>
        <v/>
      </c>
      <c r="G29" s="168">
        <f>E29*Parametri!D36*Parametri!D34</f>
        <v/>
      </c>
      <c r="H29" s="169">
        <f>IF(AND(D29&gt;E29,F29&gt;G29),"✓✓ iCBT domina",IF(AND(D29&lt;E29,F29&lt;G29),"✓✓ CC domina",IF(D29&gt;E29,"iCBT: +pazienti","CC: +QALY")))</f>
        <v/>
      </c>
    </row>
    <row r="30" ht="19.5" customHeight="1" s="127">
      <c r="B30" s="163" t="inlineStr">
        <is>
          <t>Esteso (€1M)</t>
        </is>
      </c>
      <c r="C30" s="164" t="n">
        <v>1000000</v>
      </c>
      <c r="D30" s="165">
        <f>INT(C30/Parametri!C23)</f>
        <v/>
      </c>
      <c r="E30" s="166">
        <f>INT(C30/Parametri!D23)</f>
        <v/>
      </c>
      <c r="F30" s="167">
        <f>D30*Parametri!C36*Parametri!C34</f>
        <v/>
      </c>
      <c r="G30" s="168">
        <f>E30*Parametri!D36*Parametri!D34</f>
        <v/>
      </c>
      <c r="H30" s="169">
        <f>IF(AND(D30&gt;E30,F30&gt;G30),"✓✓ iCBT domina",IF(AND(D30&lt;E30,F30&lt;G30),"✓✓ CC domina",IF(D30&gt;E30,"iCBT: +pazienti","CC: +QALY")))</f>
        <v/>
      </c>
    </row>
    <row r="32" ht="21.75" customHeight="1" s="127">
      <c r="B32" s="133" t="inlineStr">
        <is>
          <t>NOTE METODOLOGICHE E FONTI</t>
        </is>
      </c>
    </row>
    <row r="33" ht="18" customHeight="1" s="127">
      <c r="B33" s="172" t="inlineStr">
        <is>
          <t>• ICER = Incremental Cost-Effectiveness Ratio. Misura il costo aggiuntivo per ogni QALY guadagnato passando da iCBT a Collaborative Care.</t>
        </is>
      </c>
    </row>
    <row r="34" ht="18" customHeight="1" s="127">
      <c r="B34" s="172" t="inlineStr">
        <is>
          <t>• QALY = Quality-Adjusted Life Year. Combina sopravvivenza e qualità della vita. 1 QALY = 1 anno in perfetta salute.</t>
        </is>
      </c>
    </row>
    <row r="35" ht="18" customHeight="1" s="127">
      <c r="B35" s="172" t="inlineStr">
        <is>
          <t>• Soglia WTP = Willingness-To-Pay. In Italia: €30.000-€40.000/QALY (AIFA); UK: £20.000-£30.000 (NICE); USA: $100.000-$150.000.</t>
        </is>
      </c>
    </row>
    <row r="36" ht="18" customHeight="1" s="127">
      <c r="B36" s="172" t="inlineStr">
        <is>
          <t>• Dati efficacia: Cuijpers et al. (2019), Gilbody et al. (2006), Karyotaki et al. (2018), McCrone et al. (2004).</t>
        </is>
      </c>
    </row>
    <row r="37" ht="18" customHeight="1" s="127">
      <c r="B37" s="172" t="inlineStr">
        <is>
          <t>• Dati costi: stime basate su letteratura europea (Zechmeister et al. 2008, Larg et al. 2012). Adattare al contesto locale.</t>
        </is>
      </c>
    </row>
    <row r="38" ht="18" customHeight="1" s="127">
      <c r="B38" s="172" t="inlineStr">
        <is>
          <t>• Sconto temporale al 3.5%/anno applicato a QALY e benefici economici futuri (NICE TSD 2012; AIFA 2020).</t>
        </is>
      </c>
    </row>
  </sheetData>
  <mergeCells count="14">
    <mergeCell ref="B3:G3"/>
    <mergeCell ref="B2:G2"/>
    <mergeCell ref="B34:G34"/>
    <mergeCell ref="B24:G24"/>
    <mergeCell ref="B38:G38"/>
    <mergeCell ref="B22:G22"/>
    <mergeCell ref="B36:G36"/>
    <mergeCell ref="B37:G37"/>
    <mergeCell ref="B7:G7"/>
    <mergeCell ref="B32:G32"/>
    <mergeCell ref="B35:G35"/>
    <mergeCell ref="B5:E5"/>
    <mergeCell ref="B21:G21"/>
    <mergeCell ref="B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1B474D"/>
    <outlinePr summaryBelow="1" summaryRight="1"/>
    <pageSetUpPr fitToPage="0"/>
  </sheetPr>
  <dimension ref="B2:E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126" min="1" max="1"/>
    <col width="34" customWidth="1" style="126" min="2" max="2"/>
    <col width="20" customWidth="1" style="126" min="3" max="4"/>
    <col width="28" customWidth="1" style="126" min="5" max="5"/>
  </cols>
  <sheetData>
    <row r="1" ht="7.5" customHeight="1" s="127"/>
    <row r="2" ht="31.5" customHeight="1" s="127">
      <c r="B2" s="173" t="inlineStr">
        <is>
          <t>PARAMETRI DEL MODELLO — Analisi Costo-Utilità  |  iCBT vs Collaborative Care</t>
        </is>
      </c>
    </row>
    <row r="3" ht="15.75" customHeight="1" s="127">
      <c r="B3" s="129" t="inlineStr">
        <is>
          <t>Celle in BLU = input modificabili · Celle in NERO = formule · Celle in VERDE = collegamenti ad altri fogli</t>
        </is>
      </c>
    </row>
    <row r="5" ht="21.75" customHeight="1" s="127">
      <c r="B5" s="133" t="inlineStr">
        <is>
          <t>A. POPOLAZIONE E CONTESTO CLINICO</t>
        </is>
      </c>
    </row>
    <row r="6" ht="19.5" customHeight="1" s="127">
      <c r="B6" s="133" t="inlineStr">
        <is>
          <t>Parametro</t>
        </is>
      </c>
      <c r="C6" s="134" t="inlineStr">
        <is>
          <t>iCBT</t>
        </is>
      </c>
      <c r="D6" s="135" t="inlineStr">
        <is>
          <t>Collaborative Care</t>
        </is>
      </c>
      <c r="E6" s="133" t="inlineStr">
        <is>
          <t>Fonte / Nota</t>
        </is>
      </c>
    </row>
    <row r="7" ht="18" customHeight="1" s="127">
      <c r="B7" s="174" t="inlineStr">
        <is>
          <t>Numero pazienti trattati (base)</t>
        </is>
      </c>
      <c r="C7" s="175" t="n">
        <v>100</v>
      </c>
      <c r="D7" s="176" t="n">
        <v>100</v>
      </c>
      <c r="E7" s="177" t="inlineStr">
        <is>
          <t>Valore di base — modificare</t>
        </is>
      </c>
    </row>
    <row r="8" ht="18" customHeight="1" s="127">
      <c r="B8" s="178" t="inlineStr">
        <is>
          <t>Età media (anni)</t>
        </is>
      </c>
      <c r="C8" s="175" t="n">
        <v>42</v>
      </c>
      <c r="D8" s="176" t="n">
        <v>42</v>
      </c>
      <c r="E8" s="177" t="inlineStr">
        <is>
          <t>Geneen et al. 2019</t>
        </is>
      </c>
    </row>
    <row r="9" ht="18" customHeight="1" s="127">
      <c r="B9" s="174" t="inlineStr">
        <is>
          <t>% donne</t>
        </is>
      </c>
      <c r="C9" s="179" t="n">
        <v>0.6</v>
      </c>
      <c r="D9" s="180" t="n">
        <v>0.6</v>
      </c>
      <c r="E9" s="177" t="inlineStr">
        <is>
          <t>Andrews et al. 2018</t>
        </is>
      </c>
    </row>
    <row r="10" ht="18" customHeight="1" s="127">
      <c r="B10" s="178" t="inlineStr">
        <is>
          <t>Durata follow-up (mesi)</t>
        </is>
      </c>
      <c r="C10" s="175" t="n">
        <v>12</v>
      </c>
      <c r="D10" s="176" t="n">
        <v>12</v>
      </c>
      <c r="E10" s="177" t="inlineStr">
        <is>
          <t>Orizio et al. 2015</t>
        </is>
      </c>
    </row>
    <row r="11" ht="18" customHeight="1" s="127">
      <c r="B11" s="174" t="inlineStr">
        <is>
          <t>Punteggio PHQ-9 baseline (media)</t>
        </is>
      </c>
      <c r="C11" s="175" t="n">
        <v>14.2</v>
      </c>
      <c r="D11" s="176" t="n">
        <v>14.5</v>
      </c>
      <c r="E11" s="177" t="inlineStr">
        <is>
          <t>PHQ-9: 10-14 = dep. moderata</t>
        </is>
      </c>
    </row>
    <row r="13" ht="21.75" customHeight="1" s="127">
      <c r="B13" s="133" t="inlineStr">
        <is>
          <t>B. COSTI DIRETTI (€ per paziente)</t>
        </is>
      </c>
    </row>
    <row r="14" ht="19.5" customHeight="1" s="127">
      <c r="B14" s="133" t="inlineStr">
        <is>
          <t>Parametro</t>
        </is>
      </c>
      <c r="C14" s="134" t="inlineStr">
        <is>
          <t>iCBT</t>
        </is>
      </c>
      <c r="D14" s="135" t="inlineStr">
        <is>
          <t>Collaborative Care</t>
        </is>
      </c>
      <c r="E14" s="133" t="inlineStr">
        <is>
          <t>Fonte / Nota</t>
        </is>
      </c>
    </row>
    <row r="15" ht="18" customHeight="1" s="127">
      <c r="B15" s="181" t="inlineStr">
        <is>
          <t>Costo licenza/piattaforma (€)</t>
        </is>
      </c>
      <c r="C15" s="182" t="n">
        <v>250</v>
      </c>
      <c r="D15" s="183" t="n">
        <v>0</v>
      </c>
      <c r="E15" s="177" t="inlineStr">
        <is>
          <t>iCBT: licenza annuale software</t>
        </is>
      </c>
    </row>
    <row r="16" ht="18" customHeight="1" s="127">
      <c r="B16" s="184" t="inlineStr">
        <is>
          <t>Costo materiale clinico (€)</t>
        </is>
      </c>
      <c r="C16" s="182" t="n">
        <v>15</v>
      </c>
      <c r="D16" s="183" t="n">
        <v>45</v>
      </c>
      <c r="E16" s="177" t="inlineStr">
        <is>
          <t>Manuale, strumenti psicodiagnostici</t>
        </is>
      </c>
    </row>
    <row r="17" ht="18" customHeight="1" s="127">
      <c r="B17" s="181" t="inlineStr">
        <is>
          <t>Costo terapeuta per paziente (€)</t>
        </is>
      </c>
      <c r="C17" s="182" t="n">
        <v>80</v>
      </c>
      <c r="D17" s="183" t="n">
        <v>420</v>
      </c>
      <c r="E17" s="177" t="inlineStr">
        <is>
          <t>iCBT: guidance brief (2h); CC: 6-8 sessioni</t>
        </is>
      </c>
    </row>
    <row r="18" ht="18" customHeight="1" s="127">
      <c r="B18" s="184" t="inlineStr">
        <is>
          <t>Costo coordinamento clinico (€)</t>
        </is>
      </c>
      <c r="C18" s="182" t="n">
        <v>20</v>
      </c>
      <c r="D18" s="183" t="n">
        <v>180</v>
      </c>
      <c r="E18" s="177" t="inlineStr">
        <is>
          <t>CC include care manager dedicato</t>
        </is>
      </c>
    </row>
    <row r="19" ht="18" customHeight="1" s="127">
      <c r="B19" s="181" t="inlineStr">
        <is>
          <t>Costo supervisione/formazione (€)</t>
        </is>
      </c>
      <c r="C19" s="182" t="n">
        <v>30</v>
      </c>
      <c r="D19" s="183" t="n">
        <v>80</v>
      </c>
      <c r="E19" s="177" t="inlineStr">
        <is>
          <t>Quota prorate per paziente</t>
        </is>
      </c>
    </row>
    <row r="20" ht="18" customHeight="1" s="127">
      <c r="B20" s="184" t="inlineStr">
        <is>
          <t>Costo assessment (PHQ-9 + altro) (€)</t>
        </is>
      </c>
      <c r="C20" s="182" t="n">
        <v>25</v>
      </c>
      <c r="D20" s="183" t="n">
        <v>35</v>
      </c>
      <c r="E20" s="177" t="inlineStr">
        <is>
          <t>Inclusi costi somministrazione</t>
        </is>
      </c>
    </row>
    <row r="21" ht="18" customHeight="1" s="127">
      <c r="B21" s="181" t="inlineStr">
        <is>
          <t>Costo IT / infrastruttura (€)</t>
        </is>
      </c>
      <c r="C21" s="182" t="n">
        <v>40</v>
      </c>
      <c r="D21" s="183" t="n">
        <v>10</v>
      </c>
      <c r="E21" s="177" t="inlineStr">
        <is>
          <t>Server, supporto tecnico iCBT</t>
        </is>
      </c>
    </row>
    <row r="22" ht="18" customHeight="1" s="127">
      <c r="B22" s="184" t="inlineStr">
        <is>
          <t>Costo indiretti (overhead) (€)</t>
        </is>
      </c>
      <c r="C22" s="182" t="n">
        <v>50</v>
      </c>
      <c r="D22" s="183" t="n">
        <v>80</v>
      </c>
      <c r="E22" s="177" t="inlineStr">
        <is>
          <t>15% dei costi diretti totali (stima)</t>
        </is>
      </c>
    </row>
    <row r="23" ht="21.75" customHeight="1" s="127">
      <c r="B23" s="185" t="inlineStr">
        <is>
          <t>COSTO TOTALE PER PAZIENTE (€)</t>
        </is>
      </c>
      <c r="C23" s="186">
        <f>SUM(C15:C22)</f>
        <v/>
      </c>
      <c r="D23" s="187">
        <f>SUM(D15:D22)</f>
        <v/>
      </c>
      <c r="E23" s="188" t="inlineStr">
        <is>
          <t>→ Differenziale ICER calcolato nel foglio Analisi_ICER</t>
        </is>
      </c>
    </row>
    <row r="25" ht="21.75" customHeight="1" s="127">
      <c r="B25" s="133" t="inlineStr">
        <is>
          <t>C. EFFICACIA CLINICA — Tassi Risposta PHQ-9</t>
        </is>
      </c>
    </row>
    <row r="26" ht="19.5" customHeight="1" s="127">
      <c r="B26" s="133" t="inlineStr">
        <is>
          <t>Parametro</t>
        </is>
      </c>
      <c r="C26" s="134" t="inlineStr">
        <is>
          <t>iCBT</t>
        </is>
      </c>
      <c r="D26" s="135" t="inlineStr">
        <is>
          <t>Collaborative Care</t>
        </is>
      </c>
      <c r="E26" s="133" t="inlineStr">
        <is>
          <t>Fonte / Nota</t>
        </is>
      </c>
    </row>
    <row r="27" ht="18" customHeight="1" s="127">
      <c r="B27" s="181" t="inlineStr">
        <is>
          <t>Tasso risposta clinica (≥50% riduz. PHQ-9)</t>
        </is>
      </c>
      <c r="C27" s="189" t="n">
        <v>0.52</v>
      </c>
      <c r="D27" s="190" t="n">
        <v>0.61</v>
      </c>
      <c r="E27" s="177" t="inlineStr">
        <is>
          <t>Cuijpers et al. 2019; Gilbody et al. 2006</t>
        </is>
      </c>
    </row>
    <row r="28" ht="18" customHeight="1" s="127">
      <c r="B28" s="184" t="inlineStr">
        <is>
          <t>Tasso remissione (PHQ-9 &lt; 5)</t>
        </is>
      </c>
      <c r="C28" s="189" t="n">
        <v>0.38</v>
      </c>
      <c r="D28" s="190" t="n">
        <v>0.46</v>
      </c>
      <c r="E28" s="177" t="inlineStr">
        <is>
          <t>Karyotaki et al. 2018</t>
        </is>
      </c>
    </row>
    <row r="29" ht="18" customHeight="1" s="127">
      <c r="B29" s="181" t="inlineStr">
        <is>
          <t>Riduzione media PHQ-9 (punti)</t>
        </is>
      </c>
      <c r="C29" s="191" t="n">
        <v>6.2</v>
      </c>
      <c r="D29" s="192" t="n">
        <v>7.8</v>
      </c>
      <c r="E29" s="177" t="inlineStr">
        <is>
          <t>Punteggio 0-27; riduz. &gt;5 = clinicamente signif.</t>
        </is>
      </c>
    </row>
    <row r="30" ht="18" customHeight="1" s="127">
      <c r="B30" s="184" t="inlineStr">
        <is>
          <t>NNT (Number Needed to Treat)</t>
        </is>
      </c>
      <c r="C30" s="191" t="n">
        <v>5.8</v>
      </c>
      <c r="D30" s="192" t="n">
        <v>4.2</v>
      </c>
      <c r="E30" s="172" t="inlineStr">
        <is>
          <t>Calcolo: 1 / (risposta_trat - risposta_ctrl)</t>
        </is>
      </c>
    </row>
    <row r="31" ht="18" customHeight="1" s="127">
      <c r="B31" s="181" t="inlineStr">
        <is>
          <t>Tasso abbandono (drop-out %)</t>
        </is>
      </c>
      <c r="C31" s="189" t="n">
        <v>0.28</v>
      </c>
      <c r="D31" s="190" t="n">
        <v>0.18</v>
      </c>
      <c r="E31" s="177" t="inlineStr">
        <is>
          <t>iCBT tende a dropout più elevato</t>
        </is>
      </c>
    </row>
    <row r="32" ht="18" customHeight="1" s="127">
      <c r="B32" s="184" t="inlineStr">
        <is>
          <t>Risposta sostenuta a 12 mesi (%)</t>
        </is>
      </c>
      <c r="C32" s="189" t="n">
        <v>0.44</v>
      </c>
      <c r="D32" s="190" t="n">
        <v>0.53</v>
      </c>
      <c r="E32" s="177" t="inlineStr">
        <is>
          <t>Follow-up remissione mantenuta</t>
        </is>
      </c>
    </row>
    <row r="34" ht="21.75" customHeight="1" s="127">
      <c r="B34" s="133" t="inlineStr">
        <is>
          <t>D. GUADAGNO IN QALY — Da Letteratura</t>
        </is>
      </c>
    </row>
    <row r="35" ht="19.5" customHeight="1" s="127">
      <c r="B35" s="133" t="inlineStr">
        <is>
          <t>Parametro</t>
        </is>
      </c>
      <c r="C35" s="134" t="inlineStr">
        <is>
          <t>iCBT</t>
        </is>
      </c>
      <c r="D35" s="135" t="inlineStr">
        <is>
          <t>Collaborative Care</t>
        </is>
      </c>
      <c r="E35" s="133" t="inlineStr">
        <is>
          <t>Fonte / Nota</t>
        </is>
      </c>
    </row>
    <row r="36" ht="18" customHeight="1" s="127">
      <c r="B36" s="181" t="inlineStr">
        <is>
          <t>QALY guadagnato per paziente (anno 1)</t>
        </is>
      </c>
      <c r="C36" s="193" t="n">
        <v>0.045</v>
      </c>
      <c r="D36" s="194" t="n">
        <v>0.062</v>
      </c>
      <c r="E36" s="177" t="inlineStr">
        <is>
          <t>McCrone et al. 2004; Konig et al. 2009</t>
        </is>
      </c>
    </row>
    <row r="37" ht="18" customHeight="1" s="127">
      <c r="B37" s="184" t="inlineStr">
        <is>
          <t>QALY guadagnato per paziente (anno 2)</t>
        </is>
      </c>
      <c r="C37" s="193" t="n">
        <v>0.038</v>
      </c>
      <c r="D37" s="194" t="n">
        <v>0.055</v>
      </c>
      <c r="E37" s="177" t="inlineStr">
        <is>
          <t>Effetto decrescente (tasso mantenimento)</t>
        </is>
      </c>
    </row>
    <row r="38" ht="18" customHeight="1" s="127">
      <c r="B38" s="181" t="inlineStr">
        <is>
          <t>QALY guadagnato per paziente (anno 3)</t>
        </is>
      </c>
      <c r="C38" s="193" t="n">
        <v>0.03</v>
      </c>
      <c r="D38" s="194" t="n">
        <v>0.044</v>
      </c>
      <c r="E38" s="177" t="inlineStr">
        <is>
          <t>Stima su follow-up 36 mesi</t>
        </is>
      </c>
    </row>
    <row r="39" ht="18" customHeight="1" s="127">
      <c r="B39" s="184" t="inlineStr">
        <is>
          <t>Utilità stato depresso grave (EQ-5D)</t>
        </is>
      </c>
      <c r="C39" s="193" t="n">
        <v>0.31</v>
      </c>
      <c r="D39" s="194" t="n">
        <v>0.31</v>
      </c>
      <c r="E39" s="177" t="inlineStr">
        <is>
          <t>EQ-5D utility weight; Roick et al. 2004</t>
        </is>
      </c>
    </row>
    <row r="40" ht="18" customHeight="1" s="127">
      <c r="B40" s="181" t="inlineStr">
        <is>
          <t>Utilità stato remissione (EQ-5D)</t>
        </is>
      </c>
      <c r="C40" s="193" t="n">
        <v>0.82</v>
      </c>
      <c r="D40" s="194" t="n">
        <v>0.82</v>
      </c>
      <c r="E40" s="177" t="inlineStr">
        <is>
          <t>EQ-5D; valore standard UK</t>
        </is>
      </c>
    </row>
    <row r="41" ht="18" customHeight="1" s="127">
      <c r="B41" s="184" t="inlineStr">
        <is>
          <t>Utilità stato risposta parziale (EQ-5D)</t>
        </is>
      </c>
      <c r="C41" s="193" t="n">
        <v>0.62</v>
      </c>
      <c r="D41" s="194" t="n">
        <v>0.62</v>
      </c>
      <c r="E41" s="177" t="inlineStr">
        <is>
          <t>Media ponderata</t>
        </is>
      </c>
    </row>
    <row r="42" ht="18" customHeight="1" s="127">
      <c r="B42" s="181" t="inlineStr">
        <is>
          <t>Sconto temporale QALY (%/anno)</t>
        </is>
      </c>
      <c r="C42" s="193" t="n">
        <v>0.035</v>
      </c>
      <c r="D42" s="194" t="n">
        <v>0.035</v>
      </c>
      <c r="E42" s="177" t="inlineStr">
        <is>
          <t>3.5% — raccomandazione NICE/AIFA</t>
        </is>
      </c>
    </row>
    <row r="43" ht="18" customHeight="1" s="127">
      <c r="B43" s="184" t="inlineStr">
        <is>
          <t>Soglia WTP per QALY (€/QALY)</t>
        </is>
      </c>
      <c r="C43" s="164" t="n">
        <v>30000</v>
      </c>
      <c r="D43" s="195" t="n">
        <v>30000</v>
      </c>
      <c r="E43" s="177" t="inlineStr">
        <is>
          <t>Soglia NICE: £20k-£30k; Italia: ~€30k-€40k</t>
        </is>
      </c>
    </row>
  </sheetData>
  <mergeCells count="6">
    <mergeCell ref="B13:E13"/>
    <mergeCell ref="B25:E25"/>
    <mergeCell ref="B3:E3"/>
    <mergeCell ref="B2:E2"/>
    <mergeCell ref="B5:E5"/>
    <mergeCell ref="B34:E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A84B2F"/>
    <outlinePr summaryBelow="1" summaryRight="1"/>
    <pageSetUpPr fitToPage="0"/>
  </sheetPr>
  <dimension ref="B2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126" min="1" max="1"/>
    <col width="38" customWidth="1" style="126" min="2" max="2"/>
    <col width="20" customWidth="1" style="126" min="3" max="4"/>
    <col width="22" customWidth="1" style="126" min="5" max="5"/>
    <col width="30" customWidth="1" style="126" min="6" max="6"/>
  </cols>
  <sheetData>
    <row r="1" ht="7.5" customHeight="1" s="127"/>
    <row r="2" ht="31.5" customHeight="1" s="127">
      <c r="B2" s="173" t="inlineStr">
        <is>
          <t>ANALISI ICER — Costo per QALY Incrementale  |  iCBT vs Collaborative Care</t>
        </is>
      </c>
    </row>
    <row r="3" ht="15.75" customHeight="1" s="127">
      <c r="B3" s="129" t="inlineStr">
        <is>
          <t>ICER = (C_new – C_old) / (E_new – E_old)  |  Se ICER &lt; soglia WTP → intervento cost-effective</t>
        </is>
      </c>
    </row>
    <row r="5" ht="21.75" customHeight="1" s="127">
      <c r="B5" s="133" t="inlineStr">
        <is>
          <t>A. SINTESI COSTI E QALY (collegati da Parametri)</t>
        </is>
      </c>
    </row>
    <row r="6" ht="19.5" customHeight="1" s="127">
      <c r="B6" s="133" t="inlineStr">
        <is>
          <t>Voce</t>
        </is>
      </c>
      <c r="C6" s="134" t="inlineStr">
        <is>
          <t>iCBT (€/paz.)</t>
        </is>
      </c>
      <c r="D6" s="135" t="inlineStr">
        <is>
          <t>Coll.Care (€/paz.)</t>
        </is>
      </c>
      <c r="E6" s="133" t="inlineStr">
        <is>
          <t>Differenza (ΔC)</t>
        </is>
      </c>
      <c r="F6" s="133" t="inlineStr">
        <is>
          <t>Nota</t>
        </is>
      </c>
    </row>
    <row r="8" ht="18" customHeight="1" s="127">
      <c r="B8" s="136" t="inlineStr">
        <is>
          <t>Costo totale per paziente (€)</t>
        </is>
      </c>
      <c r="C8" s="137">
        <f>Parametri!C23</f>
        <v/>
      </c>
      <c r="D8" s="138">
        <f>Parametri!D23</f>
        <v/>
      </c>
      <c r="E8" s="139">
        <f>D8-C8</f>
        <v/>
      </c>
      <c r="F8" s="172" t="inlineStr">
        <is>
          <t>Somma sezione B del foglio Parametri</t>
        </is>
      </c>
    </row>
    <row r="9" ht="18" customHeight="1" s="127">
      <c r="B9" s="142" t="inlineStr">
        <is>
          <t>Numero pazienti trattati</t>
        </is>
      </c>
      <c r="C9" s="137">
        <f>Parametri!C7</f>
        <v/>
      </c>
      <c r="D9" s="138">
        <f>Parametri!D7</f>
        <v/>
      </c>
      <c r="E9" s="139">
        <f>D9-C9</f>
        <v/>
      </c>
      <c r="F9" s="172" t="inlineStr">
        <is>
          <t>Modif. nel foglio Parametri</t>
        </is>
      </c>
    </row>
    <row r="10" ht="18" customHeight="1" s="127">
      <c r="B10" s="136" t="inlineStr">
        <is>
          <t>Costo totale programma (€)</t>
        </is>
      </c>
      <c r="C10" s="137">
        <f>C8*C9</f>
        <v/>
      </c>
      <c r="D10" s="138">
        <f>D8*D9</f>
        <v/>
      </c>
      <c r="E10" s="139">
        <f>D10-C10</f>
        <v/>
      </c>
      <c r="F10" s="172" t="inlineStr">
        <is>
          <t>Costo×pazienti</t>
        </is>
      </c>
    </row>
    <row r="12" ht="21.75" customHeight="1" s="127">
      <c r="B12" s="133" t="inlineStr">
        <is>
          <t>B. QALY INCREMENTALI (con sconto temporale)</t>
        </is>
      </c>
    </row>
    <row r="13" ht="19.5" customHeight="1" s="127">
      <c r="B13" s="133" t="inlineStr">
        <is>
          <t>Voce</t>
        </is>
      </c>
      <c r="C13" s="134" t="inlineStr">
        <is>
          <t>iCBT</t>
        </is>
      </c>
      <c r="D13" s="135" t="inlineStr">
        <is>
          <t>Coll.Care</t>
        </is>
      </c>
      <c r="E13" s="133" t="inlineStr">
        <is>
          <t>ΔE (QALY increm.)</t>
        </is>
      </c>
      <c r="F13" s="133" t="inlineStr">
        <is>
          <t>Nota</t>
        </is>
      </c>
    </row>
    <row r="14" ht="18" customHeight="1" s="127">
      <c r="B14" s="136" t="inlineStr">
        <is>
          <t>QALY/paz. anno 1 (da Parametri)</t>
        </is>
      </c>
      <c r="C14" s="148">
        <f>Parametri!C36</f>
        <v/>
      </c>
      <c r="D14" s="149">
        <f>Parametri!D36</f>
        <v/>
      </c>
      <c r="E14" s="150">
        <f>D14-C14</f>
        <v/>
      </c>
      <c r="F14" s="172" t="inlineStr">
        <is>
          <t>Anno 1 senza sconto</t>
        </is>
      </c>
    </row>
    <row r="15" ht="18" customHeight="1" s="127">
      <c r="B15" s="142" t="inlineStr">
        <is>
          <t>QALY/paz. anno 2 (scontato)</t>
        </is>
      </c>
      <c r="C15" s="148">
        <f>Parametri!C37/(1+Parametri!C42)</f>
        <v/>
      </c>
      <c r="D15" s="149">
        <f>Parametri!D37/(1+Parametri!D42)</f>
        <v/>
      </c>
      <c r="E15" s="150">
        <f>D15-C15</f>
        <v/>
      </c>
      <c r="F15" s="172" t="inlineStr">
        <is>
          <t>Fattore sconto 3.5%</t>
        </is>
      </c>
    </row>
    <row r="16" ht="18" customHeight="1" s="127">
      <c r="B16" s="136" t="inlineStr">
        <is>
          <t>QALY/paz. anno 3 (scontato)</t>
        </is>
      </c>
      <c r="C16" s="148">
        <f>Parametri!C38/(1+Parametri!C42)^2</f>
        <v/>
      </c>
      <c r="D16" s="149">
        <f>Parametri!D38/(1+Parametri!D42)^2</f>
        <v/>
      </c>
      <c r="E16" s="150">
        <f>D16-C16</f>
        <v/>
      </c>
      <c r="F16" s="172" t="inlineStr">
        <is>
          <t>Fattore sconto 3.5%^2</t>
        </is>
      </c>
    </row>
    <row r="17" ht="18" customHeight="1" s="127">
      <c r="B17" s="142" t="inlineStr">
        <is>
          <t>QALY totale 3 anni per paziente</t>
        </is>
      </c>
      <c r="C17" s="148">
        <f>SUM(C14:C16)</f>
        <v/>
      </c>
      <c r="D17" s="149">
        <f>SUM(D14:D16)</f>
        <v/>
      </c>
      <c r="E17" s="150">
        <f>D17-C17</f>
        <v/>
      </c>
      <c r="F17" s="172" t="inlineStr">
        <is>
          <t>Somma anni 1-3 scontata</t>
        </is>
      </c>
    </row>
    <row r="18" ht="18" customHeight="1" s="127">
      <c r="B18" s="136" t="inlineStr">
        <is>
          <t>QALY totale programma</t>
        </is>
      </c>
      <c r="C18" s="148">
        <f>C17*Parametri!C7</f>
        <v/>
      </c>
      <c r="D18" s="149">
        <f>D17*Parametri!D7</f>
        <v/>
      </c>
      <c r="E18" s="150">
        <f>D18-C18</f>
        <v/>
      </c>
      <c r="F18" s="172" t="inlineStr">
        <is>
          <t>QALY×pazienti</t>
        </is>
      </c>
    </row>
    <row r="21" ht="21.75" customHeight="1" s="127">
      <c r="B21" s="133" t="inlineStr">
        <is>
          <t>C. CALCOLO ICER — Costo per QALY Incrementale</t>
        </is>
      </c>
    </row>
    <row r="22" ht="19.5" customHeight="1" s="127">
      <c r="B22" s="196" t="inlineStr">
        <is>
          <t>Costo incrementale totale (ΔC) (€)</t>
        </is>
      </c>
      <c r="C22" s="197">
        <f>D10-C10</f>
        <v/>
      </c>
      <c r="D22" s="198" t="inlineStr">
        <is>
          <t>C_ColCare - C_iCBT</t>
        </is>
      </c>
      <c r="E22" s="199" t="n"/>
    </row>
    <row r="23" ht="19.5" customHeight="1" s="127">
      <c r="B23" s="200" t="inlineStr">
        <is>
          <t>QALY incrementali (ΔE)</t>
        </is>
      </c>
      <c r="C23" s="201">
        <f>D17-C17</f>
        <v/>
      </c>
      <c r="D23" s="198" t="inlineStr">
        <is>
          <t>E_ColCare - E_iCBT (3 anni)</t>
        </is>
      </c>
      <c r="E23" s="199" t="n"/>
    </row>
    <row r="24" ht="19.5" customHeight="1" s="127">
      <c r="B24" s="202" t="inlineStr">
        <is>
          <t>ICER (€ per QALY guadagnato)</t>
        </is>
      </c>
      <c r="C24" s="203">
        <f>IF(C23=0,"N/A",C22/C23)</f>
        <v/>
      </c>
      <c r="D24" s="198" t="inlineStr">
        <is>
          <t>ΔC/ΔE; ICER &lt; soglia → cost-eff.</t>
        </is>
      </c>
      <c r="E24" s="199" t="n"/>
    </row>
    <row r="25" ht="19.5" customHeight="1" s="127">
      <c r="B25" s="196" t="inlineStr">
        <is>
          <t>Soglia WTP (€/QALY)</t>
        </is>
      </c>
      <c r="C25" s="197">
        <f>Parametri!C43</f>
        <v/>
      </c>
      <c r="D25" s="198" t="inlineStr">
        <is>
          <t>WTP = Willingness-To-Pay</t>
        </is>
      </c>
      <c r="E25" s="199" t="n"/>
    </row>
    <row r="26" ht="19.5" customHeight="1" s="127">
      <c r="B26" s="202" t="inlineStr">
        <is>
          <t>ICER vs Soglia</t>
        </is>
      </c>
      <c r="C26" s="204">
        <f>IF(C24="N/A","N/A",IF(C24&lt;C25,"✓ COST-EFFECTIVE","✗ NON COST-EFFECTIVE"))</f>
        <v/>
      </c>
      <c r="D26" s="198" t="inlineStr">
        <is>
          <t>Verdetto automatico</t>
        </is>
      </c>
      <c r="E26" s="199" t="n"/>
    </row>
    <row r="27" ht="19.5" customHeight="1" s="127">
      <c r="B27" s="200" t="inlineStr">
        <is>
          <t>% sopra/sotto soglia WTP</t>
        </is>
      </c>
      <c r="C27" s="205">
        <f>IF(OR(C24="N/A",C25=0),"N/A",C24/C25-1)</f>
        <v/>
      </c>
      <c r="D27" s="198" t="inlineStr">
        <is>
          <t>Negativo = sotto soglia (preferibile)</t>
        </is>
      </c>
      <c r="E27" s="199" t="n"/>
    </row>
    <row r="28" ht="19.5" customHeight="1" s="127">
      <c r="B28" s="196" t="inlineStr">
        <is>
          <t>Probabilità cost-effectiveness (stima)</t>
        </is>
      </c>
      <c r="C28" s="206" t="n">
        <v>0.65</v>
      </c>
      <c r="D28" s="198" t="inlineStr">
        <is>
          <t>Da CEAC letteratura; mod. se disponibile</t>
        </is>
      </c>
      <c r="E28" s="199" t="n"/>
    </row>
    <row r="30" ht="21.75" customHeight="1" s="127">
      <c r="B30" s="133" t="inlineStr">
        <is>
          <t>D. PIANO COSTO-EFFICACIA — Quadranti di Decisione</t>
        </is>
      </c>
    </row>
    <row r="31" ht="19.5" customHeight="1" s="127">
      <c r="B31" s="134" t="inlineStr">
        <is>
          <t>Quadrante</t>
        </is>
      </c>
      <c r="C31" s="135" t="inlineStr">
        <is>
          <t>Decisione</t>
        </is>
      </c>
      <c r="D31" s="133" t="inlineStr">
        <is>
          <t>Interpretazione</t>
        </is>
      </c>
    </row>
    <row r="32" ht="18" customHeight="1" s="127">
      <c r="B32" s="136" t="inlineStr">
        <is>
          <t>Q1: ΔC&gt;0, ΔE&gt;0 (In alto a destra)</t>
        </is>
      </c>
      <c r="C32" s="163" t="inlineStr">
        <is>
          <t>Dipende da ICER vs soglia WTP</t>
        </is>
      </c>
      <c r="D32" s="136" t="inlineStr">
        <is>
          <t>Caso più comune — valuta ICER</t>
        </is>
      </c>
    </row>
    <row r="33" ht="18" customHeight="1" s="127">
      <c r="B33" s="142" t="inlineStr">
        <is>
          <t>Q2: ΔC&lt;0, ΔE&gt;0 (In basso a destra)</t>
        </is>
      </c>
      <c r="C33" s="170" t="inlineStr">
        <is>
          <t>Domina → ADOTTARE senza esitazione</t>
        </is>
      </c>
      <c r="D33" s="142" t="inlineStr">
        <is>
          <t>CC più efficace E meno costosa</t>
        </is>
      </c>
    </row>
    <row r="34" ht="18" customHeight="1" s="127">
      <c r="B34" s="207" t="inlineStr">
        <is>
          <t>Q3: ΔC&gt;0, ΔE&lt;0 (In alto a sinistra)</t>
        </is>
      </c>
      <c r="C34" s="208" t="inlineStr">
        <is>
          <t>Dominato → NON adottare</t>
        </is>
      </c>
      <c r="D34" s="207" t="inlineStr">
        <is>
          <t>CC meno efficace E più costosa</t>
        </is>
      </c>
    </row>
    <row r="35" ht="18" customHeight="1" s="127">
      <c r="B35" s="209" t="inlineStr">
        <is>
          <t>Q4: ΔC&lt;0, ΔE&lt;0 (In basso a sinistra)</t>
        </is>
      </c>
      <c r="C35" s="210" t="inlineStr">
        <is>
          <t>Dipende da ICER vs soglia</t>
        </is>
      </c>
      <c r="D35" s="209" t="inlineStr">
        <is>
          <t>CC meno efficace MA meno costosa</t>
        </is>
      </c>
    </row>
    <row r="37" ht="21.75" customHeight="1" s="127">
      <c r="B37" s="133" t="inlineStr">
        <is>
          <t>VERDETTO AUTOMATICO QUADRANTE</t>
        </is>
      </c>
    </row>
    <row r="38" ht="27.75" customHeight="1" s="127">
      <c r="B38" s="211">
        <f>IF(C22&gt;0,IF(C23&gt;0,IF(C24&lt;C25,"Q1 ✓ COST-EFFECTIVE — ICER sotto soglia WTP","Q1 ✗ NON cost-effective — ICER sopra soglia WTP"),"Q3 ✗ DOMINATO — più costoso e meno efficace"),IF(C23&gt;0,"Q2 ✓✓ DOMINA — più efficace E meno costoso","Q4 — meno efficace ma meno costoso"))</f>
        <v/>
      </c>
    </row>
  </sheetData>
  <mergeCells count="20">
    <mergeCell ref="D32:F32"/>
    <mergeCell ref="B3:F3"/>
    <mergeCell ref="D22:E22"/>
    <mergeCell ref="B21:F21"/>
    <mergeCell ref="B12:F12"/>
    <mergeCell ref="B2:F2"/>
    <mergeCell ref="D27:E27"/>
    <mergeCell ref="D33:F33"/>
    <mergeCell ref="B38:F38"/>
    <mergeCell ref="D35:F35"/>
    <mergeCell ref="B37:F37"/>
    <mergeCell ref="D28:E28"/>
    <mergeCell ref="D34:F34"/>
    <mergeCell ref="D25:E25"/>
    <mergeCell ref="B30:F30"/>
    <mergeCell ref="D24:E24"/>
    <mergeCell ref="D31:F31"/>
    <mergeCell ref="B5:F5"/>
    <mergeCell ref="D23:E23"/>
    <mergeCell ref="D26:E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848456"/>
    <outlinePr summaryBelow="1" summaryRight="1"/>
    <pageSetUpPr fitToPage="0"/>
  </sheetPr>
  <dimension ref="B2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126" min="1" max="1"/>
    <col width="34" customWidth="1" style="126" min="2" max="2"/>
    <col width="18" customWidth="1" style="126" min="3" max="5"/>
    <col width="20" customWidth="1" style="126" min="6" max="6"/>
    <col width="28" customWidth="1" style="126" min="7" max="7"/>
  </cols>
  <sheetData>
    <row r="1" ht="7.5" customHeight="1" s="127"/>
    <row r="2" ht="31.5" customHeight="1" s="127">
      <c r="B2" s="173" t="inlineStr">
        <is>
          <t>ANALISI ROI — Ritorno sull'Investimento a 12, 24, 36 Mesi  |  iCBT vs Collaborative Care</t>
        </is>
      </c>
    </row>
    <row r="3" ht="15.75" customHeight="1" s="127">
      <c r="B3" s="129" t="inlineStr">
        <is>
          <t>ROI = (Beneficio Economico Totale − Costo Programma) / Costo Programma × 100  |  Tasso sconto: 3.5%</t>
        </is>
      </c>
    </row>
    <row r="5" ht="21.75" customHeight="1" s="127">
      <c r="B5" s="133" t="inlineStr">
        <is>
          <t>A. PARAMETRI DI BENEFICIO ECONOMICO (€ per paziente/anno)</t>
        </is>
      </c>
    </row>
    <row r="6" ht="19.5" customHeight="1" s="127">
      <c r="B6" s="133" t="inlineStr">
        <is>
          <t>Parametro</t>
        </is>
      </c>
      <c r="C6" s="134" t="inlineStr">
        <is>
          <t>iCBT</t>
        </is>
      </c>
      <c r="D6" s="135" t="inlineStr">
        <is>
          <t>Coll. Care</t>
        </is>
      </c>
      <c r="E6" s="133" t="inlineStr">
        <is>
          <t>Fonte</t>
        </is>
      </c>
    </row>
    <row r="7" ht="18" customHeight="1" s="127">
      <c r="B7" s="136" t="inlineStr">
        <is>
          <t>Costo assenteismo evitato/paz./anno (€)</t>
        </is>
      </c>
      <c r="C7" s="164" t="n">
        <v>1200</v>
      </c>
      <c r="D7" s="195" t="n">
        <v>1450</v>
      </c>
      <c r="E7" s="172" t="inlineStr">
        <is>
          <t>Larg et al. 2012; Zechmeister et al. 2008</t>
        </is>
      </c>
    </row>
    <row r="8" ht="18" customHeight="1" s="127">
      <c r="B8" s="142" t="inlineStr">
        <is>
          <t>Costo presenteismo evitato/paz./anno (€)</t>
        </is>
      </c>
      <c r="C8" s="164" t="n">
        <v>850</v>
      </c>
      <c r="D8" s="195" t="n">
        <v>980</v>
      </c>
      <c r="E8" s="172" t="inlineStr">
        <is>
          <t>Media stime letteratura europea</t>
        </is>
      </c>
    </row>
    <row r="9" ht="18" customHeight="1" s="127">
      <c r="B9" s="136" t="inlineStr">
        <is>
          <t>Riduzione accessi PS/paz./anno (€)</t>
        </is>
      </c>
      <c r="C9" s="164" t="n">
        <v>320</v>
      </c>
      <c r="D9" s="195" t="n">
        <v>410</v>
      </c>
      <c r="E9" s="172" t="inlineStr">
        <is>
          <t>A&amp;P ev. psichiatrico: ~€600-800/accesso</t>
        </is>
      </c>
    </row>
    <row r="10" ht="18" customHeight="1" s="127">
      <c r="B10" s="142" t="inlineStr">
        <is>
          <t>Riduzione farmaci/paz./anno (€)</t>
        </is>
      </c>
      <c r="C10" s="164" t="n">
        <v>180</v>
      </c>
      <c r="D10" s="195" t="n">
        <v>240</v>
      </c>
      <c r="E10" s="172" t="inlineStr">
        <is>
          <t>Antidepressivi + psicofarmaci</t>
        </is>
      </c>
    </row>
    <row r="11" ht="18" customHeight="1" s="127">
      <c r="B11" s="136" t="inlineStr">
        <is>
          <t>Riduzione ricoveri/paz./anno (€)</t>
        </is>
      </c>
      <c r="C11" s="164" t="n">
        <v>280</v>
      </c>
      <c r="D11" s="195" t="n">
        <v>390</v>
      </c>
      <c r="E11" s="172" t="inlineStr">
        <is>
          <t>0.12 ric./paz. × €2.300/ricovero</t>
        </is>
      </c>
    </row>
    <row r="12" ht="18" customHeight="1" s="127">
      <c r="B12" s="142" t="inlineStr">
        <is>
          <t>Beneficio caregiver/paz./anno (€)</t>
        </is>
      </c>
      <c r="C12" s="164" t="n">
        <v>150</v>
      </c>
      <c r="D12" s="195" t="n">
        <v>200</v>
      </c>
      <c r="E12" s="172" t="inlineStr">
        <is>
          <t>Riduzione burden familiare</t>
        </is>
      </c>
    </row>
    <row r="13" ht="18" customHeight="1" s="127">
      <c r="B13" s="136" t="inlineStr">
        <is>
          <t>Aumento produttività lavorativa (€)</t>
        </is>
      </c>
      <c r="C13" s="164" t="n">
        <v>420</v>
      </c>
      <c r="D13" s="195" t="n">
        <v>520</v>
      </c>
      <c r="E13" s="172" t="inlineStr">
        <is>
          <t>GAF scale improvement → produttività</t>
        </is>
      </c>
    </row>
    <row r="14" ht="21.75" customHeight="1" s="127">
      <c r="B14" s="212" t="inlineStr">
        <is>
          <t>BENEFICIO ECONOMICO TOTALE/PAZ./ANNO (€)</t>
        </is>
      </c>
      <c r="C14" s="213">
        <f>SUM(C7:C13)</f>
        <v/>
      </c>
      <c r="D14" s="214">
        <f>SUM(D7:D13)</f>
        <v/>
      </c>
    </row>
    <row r="16" ht="21.75" customHeight="1" s="127">
      <c r="B16" s="133" t="inlineStr">
        <is>
          <t>B. ROI per Orizzonte Temporale (base = 100 pazienti)</t>
        </is>
      </c>
    </row>
    <row r="17" ht="24" customHeight="1" s="127">
      <c r="B17" s="133" t="inlineStr">
        <is>
          <t>Voce</t>
        </is>
      </c>
      <c r="C17" s="134" t="inlineStr">
        <is>
          <t>12 mesi</t>
        </is>
      </c>
      <c r="D17" s="135" t="inlineStr">
        <is>
          <t>12 mesi CC</t>
        </is>
      </c>
      <c r="E17" s="134" t="inlineStr">
        <is>
          <t>24 mesi iCBT</t>
        </is>
      </c>
      <c r="F17" s="135" t="inlineStr">
        <is>
          <t>24 mesi CC</t>
        </is>
      </c>
      <c r="G17" s="134" t="inlineStr">
        <is>
          <t>36 mesi iCBT</t>
        </is>
      </c>
      <c r="H17" s="135" t="inlineStr">
        <is>
          <t>36 mesi CC</t>
        </is>
      </c>
    </row>
    <row r="18" ht="18" customHeight="1" s="127">
      <c r="B18" s="136" t="inlineStr">
        <is>
          <t>Costo programma totale (€)</t>
        </is>
      </c>
      <c r="C18" s="157">
        <f>Parametri!C23*Parametri!C7</f>
        <v/>
      </c>
      <c r="D18" s="215">
        <f>Parametri!D23*Parametri!D7</f>
        <v/>
      </c>
      <c r="E18" s="157">
        <f>Parametri!C23*Parametri!C7</f>
        <v/>
      </c>
      <c r="F18" s="215">
        <f>Parametri!D23*Parametri!D7</f>
        <v/>
      </c>
      <c r="G18" s="157">
        <f>Parametri!C23*Parametri!C7</f>
        <v/>
      </c>
      <c r="H18" s="215">
        <f>Parametri!D23*Parametri!D7</f>
        <v/>
      </c>
    </row>
    <row r="19" ht="18" customHeight="1" s="127">
      <c r="B19" s="142" t="inlineStr">
        <is>
          <t>Tasso risposta mantenuta</t>
        </is>
      </c>
      <c r="C19" s="151">
        <f>Parametri!C34</f>
        <v/>
      </c>
      <c r="D19" s="152">
        <f>Parametri!D34</f>
        <v/>
      </c>
      <c r="E19" s="151">
        <f>Parametri!C34</f>
        <v/>
      </c>
      <c r="F19" s="152">
        <f>Parametri!D34</f>
        <v/>
      </c>
      <c r="G19" s="151">
        <f>Parametri!C34</f>
        <v/>
      </c>
      <c r="H19" s="152">
        <f>Parametri!D34</f>
        <v/>
      </c>
    </row>
    <row r="20" ht="18" customHeight="1" s="127">
      <c r="B20" s="136" t="inlineStr">
        <is>
          <t>Beneficio lordo anno 1 (€)</t>
        </is>
      </c>
      <c r="C20" s="157">
        <f>C14*Parametri!C7*D19</f>
        <v/>
      </c>
      <c r="D20" s="215">
        <f>D14*Parametri!D7*E19</f>
        <v/>
      </c>
      <c r="E20" s="157">
        <f>C14*Parametri!C7*F19</f>
        <v/>
      </c>
      <c r="F20" s="215">
        <f>D14*Parametri!D7*G19</f>
        <v/>
      </c>
      <c r="G20" s="157">
        <f>C14*Parametri!C7*H19</f>
        <v/>
      </c>
      <c r="H20" s="215">
        <f>D14*Parametri!D7*H19</f>
        <v/>
      </c>
    </row>
    <row r="21" ht="18" customHeight="1" s="127">
      <c r="B21" s="142" t="inlineStr">
        <is>
          <t>Beneficio lordo anno 2 (€)</t>
        </is>
      </c>
      <c r="C21" s="216" t="inlineStr">
        <is>
          <t>N/A (solo 12 mesi)</t>
        </is>
      </c>
      <c r="D21" s="215" t="inlineStr">
        <is>
          <t>N/A</t>
        </is>
      </c>
      <c r="E21" s="157">
        <f>C14*Parametri!C7*F19/(1+Parametri!C42)</f>
        <v/>
      </c>
      <c r="F21" s="215">
        <f>D14*Parametri!D7*G19/(1+Parametri!D42)</f>
        <v/>
      </c>
      <c r="G21" s="157">
        <f>C14*Parametri!C7*H19/(1+Parametri!C42)</f>
        <v/>
      </c>
      <c r="H21" s="215">
        <f>D14*Parametri!D7*H19/(1+Parametri!D42)</f>
        <v/>
      </c>
    </row>
    <row r="22" ht="18" customHeight="1" s="127">
      <c r="B22" s="136" t="inlineStr">
        <is>
          <t>Beneficio lordo anno 3 (€)</t>
        </is>
      </c>
      <c r="C22" s="157" t="inlineStr">
        <is>
          <t>N/A</t>
        </is>
      </c>
      <c r="D22" s="215" t="inlineStr">
        <is>
          <t>N/A</t>
        </is>
      </c>
      <c r="E22" s="157" t="inlineStr">
        <is>
          <t>N/A</t>
        </is>
      </c>
      <c r="F22" s="215" t="inlineStr">
        <is>
          <t>N/A</t>
        </is>
      </c>
      <c r="G22" s="157">
        <f>C14*Parametri!C7*H19/(1+Parametri!C42)^2</f>
        <v/>
      </c>
      <c r="H22" s="215">
        <f>D14*Parametri!D7*H19/(1+Parametri!D42)^2</f>
        <v/>
      </c>
    </row>
    <row r="23" ht="18" customHeight="1" s="127">
      <c r="B23" s="210" t="inlineStr">
        <is>
          <t>Beneficio NETTO totale (€)</t>
        </is>
      </c>
      <c r="C23" s="217">
        <f>C20-C18</f>
        <v/>
      </c>
      <c r="D23" s="217">
        <f>E20-D18</f>
        <v/>
      </c>
      <c r="E23" s="217">
        <f>F20+F21-F18</f>
        <v/>
      </c>
      <c r="F23" s="217">
        <f>G20+G21-G18</f>
        <v/>
      </c>
      <c r="G23" s="217">
        <f>G20+G21+G22-G18</f>
        <v/>
      </c>
      <c r="H23" s="217">
        <f>H20+H21+H22-H18</f>
        <v/>
      </c>
    </row>
    <row r="24" ht="18" customHeight="1" s="127">
      <c r="B24" s="210" t="inlineStr">
        <is>
          <t>ROI (%)</t>
        </is>
      </c>
      <c r="C24" s="218">
        <f>IF(C18=0,"N/A",(C23-C18)/C18)</f>
        <v/>
      </c>
      <c r="D24" s="218">
        <f>IF(D18=0,"N/A",(D23-D18)/D18)</f>
        <v/>
      </c>
      <c r="E24" s="218">
        <f>IF(F18=0,"N/A",(F23-F18)/F18)</f>
        <v/>
      </c>
      <c r="F24" s="218">
        <f>IF(G18=0,"N/A",(G23-G18)/G18)</f>
        <v/>
      </c>
      <c r="G24" s="218">
        <f>IF(G18=0,"N/A",(G23-G18)/G18)</f>
        <v/>
      </c>
      <c r="H24" s="218">
        <f>IF(H18=0,"N/A",(H23-H18)/H18)</f>
        <v/>
      </c>
    </row>
    <row r="25" ht="18" customHeight="1" s="127">
      <c r="B25" s="136" t="inlineStr">
        <is>
          <t>Break-even (mesi)</t>
        </is>
      </c>
      <c r="C25" s="154">
        <f>IF(C14*Parametri!C7*C19=0,"N/A",C18/(C14*Parametri!C7*C19/12))</f>
        <v/>
      </c>
      <c r="D25" s="155">
        <f>IF(D14*Parametri!D7*D19=0,"N/A",D18/(D14*Parametri!D7*D19/12))</f>
        <v/>
      </c>
      <c r="E25" s="154">
        <f>IF(C14*Parametri!C7*F19=0,"N/A",F18/(C14*Parametri!C7*F19/12))</f>
        <v/>
      </c>
      <c r="F25" s="155">
        <f>IF(D14*Parametri!D7*G19=0,"N/A",G18/(D14*Parametri!D7*G19/12))</f>
        <v/>
      </c>
      <c r="G25" s="154">
        <f>IF(C14*Parametri!C7*G19=0,"N/A",G18/(C14*Parametri!C7*G19/12))</f>
        <v/>
      </c>
      <c r="H25" s="155">
        <f>IF(D14*Parametri!D7*H19=0,"N/A",H18/(D14*Parametri!D7*H19/12))</f>
        <v/>
      </c>
    </row>
    <row r="27" ht="21.75" customHeight="1" s="127">
      <c r="B27" s="133" t="inlineStr">
        <is>
          <t>C. ROI per Budget Disponibile — Calcolo Pazienti Trattabili</t>
        </is>
      </c>
    </row>
    <row r="28" ht="21.75" customHeight="1" s="127">
      <c r="B28" s="133" t="inlineStr">
        <is>
          <t>Budget disponibile (€)</t>
        </is>
      </c>
      <c r="C28" s="134" t="inlineStr">
        <is>
          <t>Paz. trattabili iCBT</t>
        </is>
      </c>
      <c r="D28" s="135" t="inlineStr">
        <is>
          <t>Paz. trattabili CC</t>
        </is>
      </c>
      <c r="E28" s="134" t="inlineStr">
        <is>
          <t>ROI programma iCBT</t>
        </is>
      </c>
      <c r="F28" s="135" t="inlineStr">
        <is>
          <t>ROI programma CC</t>
        </is>
      </c>
      <c r="G28" s="133" t="inlineStr">
        <is>
          <t>Raccomandazione</t>
        </is>
      </c>
    </row>
    <row r="29" ht="18" customHeight="1" s="127">
      <c r="B29" s="164" t="n">
        <v>50000</v>
      </c>
      <c r="C29" s="165">
        <f>INT(B29/Parametri!C23)</f>
        <v/>
      </c>
      <c r="D29" s="166">
        <f>INT(B29/Parametri!D23)</f>
        <v/>
      </c>
      <c r="E29" s="219">
        <f>IF(Parametri!C23=0,"N/A",(C29*C14*Parametri!C34-B29)/B29)</f>
        <v/>
      </c>
      <c r="F29" s="220">
        <f>IF(Parametri!D23=0,"N/A",(D29*D14*Parametri!D34-B29)/B29)</f>
        <v/>
      </c>
      <c r="G29" s="169">
        <f>IF(E29="N/A","N/A",IF(AND(C29&gt;D29,E29&gt;F29),"iCBT: più pazienti + ROI &gt;","Coll.Care: migliore ROI"))</f>
        <v/>
      </c>
    </row>
    <row r="30" ht="18" customHeight="1" s="127">
      <c r="B30" s="171" t="n">
        <v>100000</v>
      </c>
      <c r="C30" s="165">
        <f>INT(B30/Parametri!C23)</f>
        <v/>
      </c>
      <c r="D30" s="166">
        <f>INT(B30/Parametri!D23)</f>
        <v/>
      </c>
      <c r="E30" s="219">
        <f>IF(Parametri!C23=0,"N/A",(C30*C14*Parametri!C34-B30)/B30)</f>
        <v/>
      </c>
      <c r="F30" s="220">
        <f>IF(Parametri!D23=0,"N/A",(D30*D14*Parametri!D34-B30)/B30)</f>
        <v/>
      </c>
      <c r="G30" s="169">
        <f>IF(E30="N/A","N/A",IF(AND(C30&gt;D30,E30&gt;F30),"iCBT: più pazienti + ROI &gt;","Coll.Care: migliore ROI"))</f>
        <v/>
      </c>
    </row>
    <row r="31" ht="18" customHeight="1" s="127">
      <c r="B31" s="164" t="n">
        <v>200000</v>
      </c>
      <c r="C31" s="165">
        <f>INT(B31/Parametri!C23)</f>
        <v/>
      </c>
      <c r="D31" s="166">
        <f>INT(B31/Parametri!D23)</f>
        <v/>
      </c>
      <c r="E31" s="219">
        <f>IF(Parametri!C23=0,"N/A",(C31*C14*Parametri!C34-B31)/B31)</f>
        <v/>
      </c>
      <c r="F31" s="220">
        <f>IF(Parametri!D23=0,"N/A",(D31*D14*Parametri!D34-B31)/B31)</f>
        <v/>
      </c>
      <c r="G31" s="169">
        <f>IF(E31="N/A","N/A",IF(AND(C31&gt;D31,E31&gt;F31),"iCBT: più pazienti + ROI &gt;","Coll.Care: migliore ROI"))</f>
        <v/>
      </c>
    </row>
    <row r="32" ht="18" customHeight="1" s="127">
      <c r="B32" s="171" t="n">
        <v>500000</v>
      </c>
      <c r="C32" s="165">
        <f>INT(B32/Parametri!C23)</f>
        <v/>
      </c>
      <c r="D32" s="166">
        <f>INT(B32/Parametri!D23)</f>
        <v/>
      </c>
      <c r="E32" s="219">
        <f>IF(Parametri!C23=0,"N/A",(C32*C14*Parametri!C34-B32)/B32)</f>
        <v/>
      </c>
      <c r="F32" s="220">
        <f>IF(Parametri!D23=0,"N/A",(D32*D14*Parametri!D34-B32)/B32)</f>
        <v/>
      </c>
      <c r="G32" s="169">
        <f>IF(E32="N/A","N/A",IF(AND(C32&gt;D32,E32&gt;F32),"iCBT: più pazienti + ROI &gt;","Coll.Care: migliore ROI"))</f>
        <v/>
      </c>
    </row>
    <row r="33" ht="18" customHeight="1" s="127">
      <c r="B33" s="164" t="n">
        <v>1000000</v>
      </c>
      <c r="C33" s="165">
        <f>INT(B33/Parametri!C23)</f>
        <v/>
      </c>
      <c r="D33" s="166">
        <f>INT(B33/Parametri!D23)</f>
        <v/>
      </c>
      <c r="E33" s="219">
        <f>IF(Parametri!C23=0,"N/A",(C33*C14*Parametri!C34-B33)/B33)</f>
        <v/>
      </c>
      <c r="F33" s="220">
        <f>IF(Parametri!D23=0,"N/A",(D33*D14*Parametri!D34-B33)/B33)</f>
        <v/>
      </c>
      <c r="G33" s="169">
        <f>IF(E33="N/A","N/A",IF(AND(C33&gt;D33,E33&gt;F33),"iCBT: più pazienti + ROI &gt;","Coll.Care: migliore ROI"))</f>
        <v/>
      </c>
    </row>
  </sheetData>
  <mergeCells count="5">
    <mergeCell ref="B3:G3"/>
    <mergeCell ref="B2:G2"/>
    <mergeCell ref="B16:G16"/>
    <mergeCell ref="B5:G5"/>
    <mergeCell ref="B27:G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7A39BB"/>
    <outlinePr summaryBelow="1" summaryRight="1"/>
    <pageSetUpPr fitToPage="0"/>
  </sheetPr>
  <dimension ref="B2:H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126" min="1" max="1"/>
    <col width="34" customWidth="1" style="126" min="2" max="2"/>
    <col width="18" customWidth="1" style="126" min="3" max="7"/>
    <col width="28" customWidth="1" style="126" min="8" max="8"/>
  </cols>
  <sheetData>
    <row r="1" ht="7.5" customHeight="1" s="127"/>
    <row r="2" ht="31.5" customHeight="1" s="127">
      <c r="B2" s="173" t="inlineStr">
        <is>
          <t>ANALISI DI SENSIBILITÀ — One-Way &amp; Two-Way  |  iCBT vs Collaborative Care</t>
        </is>
      </c>
    </row>
    <row r="3" ht="15.75" customHeight="1" s="127">
      <c r="B3" s="129" t="inlineStr">
        <is>
          <t>Modifica i valori in BLU per esplorare scenari. Le colonne ICER si aggiornano in automatico.</t>
        </is>
      </c>
    </row>
    <row r="5" ht="21.75" customHeight="1" s="127">
      <c r="B5" s="133" t="inlineStr">
        <is>
          <t>A. ANALISI ONE-WAY — Variazione Costo iCBT (Ceteris Paribus)</t>
        </is>
      </c>
    </row>
    <row r="6" ht="21.75" customHeight="1" s="127">
      <c r="B6" s="134" t="inlineStr">
        <is>
          <t>Costo/paz. iCBT (€)</t>
        </is>
      </c>
      <c r="C6" s="134" t="inlineStr">
        <is>
          <t>Variazione %</t>
        </is>
      </c>
      <c r="D6" s="133" t="inlineStr">
        <is>
          <t>ΔCosto totale (€)</t>
        </is>
      </c>
      <c r="E6" s="133" t="inlineStr">
        <is>
          <t>QALY increm. iCBT</t>
        </is>
      </c>
      <c r="F6" s="133" t="inlineStr">
        <is>
          <t>ICER stimato (€/QALY)</t>
        </is>
      </c>
      <c r="G6" s="133" t="inlineStr">
        <is>
          <t>Vs Soglia €30k</t>
        </is>
      </c>
      <c r="H6" s="133" t="inlineStr">
        <is>
          <t>Giudizio</t>
        </is>
      </c>
    </row>
    <row r="7" ht="18" customHeight="1" s="127">
      <c r="B7" s="221">
        <f>Parametri!C23*(1+-0.4)</f>
        <v/>
      </c>
      <c r="C7" s="222" t="n">
        <v>-0.4</v>
      </c>
      <c r="D7" s="223">
        <f>(C7-Parametri!C23)*Parametri!C7</f>
        <v/>
      </c>
      <c r="E7" s="148">
        <f>Analisi_ICER!C23</f>
        <v/>
      </c>
      <c r="F7" s="224">
        <f>IF(E7=0,"N/A",(Parametri!D23-C7)/E7)</f>
        <v/>
      </c>
      <c r="G7" s="225">
        <f>IF(F7="N/A","N/A",F7/Parametri!C43-1)</f>
        <v/>
      </c>
      <c r="H7" s="140">
        <f>IF(F7="N/A","N/A",IF(F7&lt;Parametri!C43,"✓ Cost-effective","✗ Non cost-eff."))</f>
        <v/>
      </c>
    </row>
    <row r="8" ht="18" customHeight="1" s="127">
      <c r="B8" s="226">
        <f>Parametri!C23*(1+-0.2)</f>
        <v/>
      </c>
      <c r="C8" s="227" t="n">
        <v>-0.2</v>
      </c>
      <c r="D8" s="228">
        <f>(C8-Parametri!C23)*Parametri!C7</f>
        <v/>
      </c>
      <c r="E8" s="229">
        <f>Analisi_ICER!C23</f>
        <v/>
      </c>
      <c r="F8" s="224">
        <f>IF(E8=0,"N/A",(Parametri!D23-C8)/E8)</f>
        <v/>
      </c>
      <c r="G8" s="230">
        <f>IF(F8="N/A","N/A",F8/Parametri!C43-1)</f>
        <v/>
      </c>
      <c r="H8" s="146">
        <f>IF(F8="N/A","N/A",IF(F8&lt;Parametri!C43,"✓ Cost-effective","✗ Non cost-eff."))</f>
        <v/>
      </c>
    </row>
    <row r="9" ht="18" customHeight="1" s="127">
      <c r="B9" s="221">
        <f>Parametri!C23*(1+-0.1)</f>
        <v/>
      </c>
      <c r="C9" s="222" t="n">
        <v>-0.1</v>
      </c>
      <c r="D9" s="223">
        <f>(C9-Parametri!C23)*Parametri!C7</f>
        <v/>
      </c>
      <c r="E9" s="148">
        <f>Analisi_ICER!C23</f>
        <v/>
      </c>
      <c r="F9" s="224">
        <f>IF(E9=0,"N/A",(Parametri!D23-C9)/E9)</f>
        <v/>
      </c>
      <c r="G9" s="225">
        <f>IF(F9="N/A","N/A",F9/Parametri!C43-1)</f>
        <v/>
      </c>
      <c r="H9" s="140">
        <f>IF(F9="N/A","N/A",IF(F9&lt;Parametri!C43,"✓ Cost-effective","✗ Non cost-eff."))</f>
        <v/>
      </c>
    </row>
    <row r="10" ht="18" customHeight="1" s="127">
      <c r="B10" s="231">
        <f>Parametri!C23*(1+0)</f>
        <v/>
      </c>
      <c r="C10" s="227" t="n">
        <v>0</v>
      </c>
      <c r="D10" s="228">
        <f>(C10-Parametri!C23)*Parametri!C7</f>
        <v/>
      </c>
      <c r="E10" s="229">
        <f>Analisi_ICER!C23</f>
        <v/>
      </c>
      <c r="F10" s="224">
        <f>IF(E10=0,"N/A",(Parametri!D23-C10)/E10)</f>
        <v/>
      </c>
      <c r="G10" s="230">
        <f>IF(F10="N/A","N/A",F10/Parametri!C43-1)</f>
        <v/>
      </c>
      <c r="H10" s="146">
        <f>IF(F10="N/A","N/A",IF(F10&lt;Parametri!C43,"✓ Cost-effective","✗ Non cost-eff."))</f>
        <v/>
      </c>
    </row>
    <row r="11" ht="18" customHeight="1" s="127">
      <c r="B11" s="221">
        <f>Parametri!C23*(1+0.1)</f>
        <v/>
      </c>
      <c r="C11" s="222" t="n">
        <v>0.1</v>
      </c>
      <c r="D11" s="223">
        <f>(C11-Parametri!C23)*Parametri!C7</f>
        <v/>
      </c>
      <c r="E11" s="148">
        <f>Analisi_ICER!C23</f>
        <v/>
      </c>
      <c r="F11" s="224">
        <f>IF(E11=0,"N/A",(Parametri!D23-C11)/E11)</f>
        <v/>
      </c>
      <c r="G11" s="225">
        <f>IF(F11="N/A","N/A",F11/Parametri!C43-1)</f>
        <v/>
      </c>
      <c r="H11" s="140">
        <f>IF(F11="N/A","N/A",IF(F11&lt;Parametri!C43,"✓ Cost-effective","✗ Non cost-eff."))</f>
        <v/>
      </c>
    </row>
    <row r="12" ht="18" customHeight="1" s="127">
      <c r="B12" s="226">
        <f>Parametri!C23*(1+0.2)</f>
        <v/>
      </c>
      <c r="C12" s="227" t="n">
        <v>0.2</v>
      </c>
      <c r="D12" s="228">
        <f>(C12-Parametri!C23)*Parametri!C7</f>
        <v/>
      </c>
      <c r="E12" s="229">
        <f>Analisi_ICER!C23</f>
        <v/>
      </c>
      <c r="F12" s="224">
        <f>IF(E12=0,"N/A",(Parametri!D23-C12)/E12)</f>
        <v/>
      </c>
      <c r="G12" s="230">
        <f>IF(F12="N/A","N/A",F12/Parametri!C43-1)</f>
        <v/>
      </c>
      <c r="H12" s="146">
        <f>IF(F12="N/A","N/A",IF(F12&lt;Parametri!C43,"✓ Cost-effective","✗ Non cost-eff."))</f>
        <v/>
      </c>
    </row>
    <row r="13" ht="18" customHeight="1" s="127">
      <c r="B13" s="221">
        <f>Parametri!C23*(1+0.4)</f>
        <v/>
      </c>
      <c r="C13" s="222" t="n">
        <v>0.4</v>
      </c>
      <c r="D13" s="223">
        <f>(C13-Parametri!C23)*Parametri!C7</f>
        <v/>
      </c>
      <c r="E13" s="148">
        <f>Analisi_ICER!C23</f>
        <v/>
      </c>
      <c r="F13" s="224">
        <f>IF(E13=0,"N/A",(Parametri!D23-C13)/E13)</f>
        <v/>
      </c>
      <c r="G13" s="225">
        <f>IF(F13="N/A","N/A",F13/Parametri!C43-1)</f>
        <v/>
      </c>
      <c r="H13" s="140">
        <f>IF(F13="N/A","N/A",IF(F13&lt;Parametri!C43,"✓ Cost-effective","✗ Non cost-eff."))</f>
        <v/>
      </c>
    </row>
    <row r="14" ht="18" customHeight="1" s="127">
      <c r="B14" s="226">
        <f>Parametri!C23*(1+0.6)</f>
        <v/>
      </c>
      <c r="C14" s="227" t="n">
        <v>0.6</v>
      </c>
      <c r="D14" s="228">
        <f>(C14-Parametri!C23)*Parametri!C7</f>
        <v/>
      </c>
      <c r="E14" s="229">
        <f>Analisi_ICER!C23</f>
        <v/>
      </c>
      <c r="F14" s="224">
        <f>IF(E14=0,"N/A",(Parametri!D23-C14)/E14)</f>
        <v/>
      </c>
      <c r="G14" s="230">
        <f>IF(F14="N/A","N/A",F14/Parametri!C43-1)</f>
        <v/>
      </c>
      <c r="H14" s="146">
        <f>IF(F14="N/A","N/A",IF(F14&lt;Parametri!C43,"✓ Cost-effective","✗ Non cost-eff."))</f>
        <v/>
      </c>
    </row>
    <row r="16" ht="21.75" customHeight="1" s="127">
      <c r="B16" s="133" t="inlineStr">
        <is>
          <t>B. ANALISI ONE-WAY — Variazione Efficacia CC (Tasso Risposta)</t>
        </is>
      </c>
    </row>
    <row r="17" ht="21.75" customHeight="1" s="127">
      <c r="B17" s="135" t="inlineStr">
        <is>
          <t>Tasso risposta CC</t>
        </is>
      </c>
      <c r="C17" s="135" t="inlineStr">
        <is>
          <t>Variazione (pp)</t>
        </is>
      </c>
      <c r="D17" s="135" t="inlineStr">
        <is>
          <t>QALY/paz. CC stimato</t>
        </is>
      </c>
      <c r="E17" s="133" t="inlineStr">
        <is>
          <t>ΔE vs iCBT</t>
        </is>
      </c>
      <c r="F17" s="133" t="inlineStr">
        <is>
          <t>ICER stimato (€/QALY)</t>
        </is>
      </c>
      <c r="G17" s="133" t="inlineStr">
        <is>
          <t>Vs Soglia €30k</t>
        </is>
      </c>
      <c r="H17" s="133" t="inlineStr">
        <is>
          <t>Giudizio</t>
        </is>
      </c>
    </row>
    <row r="18" ht="18" customHeight="1" s="127">
      <c r="B18" s="219">
        <f>Parametri!D27+-0.15</f>
        <v/>
      </c>
      <c r="C18" s="222" t="n">
        <v>-0.15</v>
      </c>
      <c r="D18" s="232">
        <f>Parametri!D36*(C18/Parametri!D27)</f>
        <v/>
      </c>
      <c r="E18" s="233">
        <f>D18-Parametri!C36</f>
        <v/>
      </c>
      <c r="F18" s="224">
        <f>IF(E18=0,"N/A",(Parametri!D23-Parametri!C23)/E18)</f>
        <v/>
      </c>
      <c r="G18" s="225">
        <f>IF(F18="N/A","N/A",F18/Parametri!C43-1)</f>
        <v/>
      </c>
      <c r="H18" s="140">
        <f>IF(F18="N/A","N/A",IF(F18&lt;Parametri!C43,"✓ Cost-effective","✗ Non cost-eff."))</f>
        <v/>
      </c>
    </row>
    <row r="19" ht="18" customHeight="1" s="127">
      <c r="B19" s="234">
        <f>Parametri!D27+-0.1</f>
        <v/>
      </c>
      <c r="C19" s="227" t="n">
        <v>-0.1</v>
      </c>
      <c r="D19" s="232">
        <f>Parametri!D36*(C19/Parametri!D27)</f>
        <v/>
      </c>
      <c r="E19" s="235">
        <f>D19-Parametri!C36</f>
        <v/>
      </c>
      <c r="F19" s="224">
        <f>IF(E19=0,"N/A",(Parametri!D23-Parametri!C23)/E19)</f>
        <v/>
      </c>
      <c r="G19" s="230">
        <f>IF(F19="N/A","N/A",F19/Parametri!C43-1)</f>
        <v/>
      </c>
      <c r="H19" s="146">
        <f>IF(F19="N/A","N/A",IF(F19&lt;Parametri!C43,"✓ Cost-effective","✗ Non cost-eff."))</f>
        <v/>
      </c>
    </row>
    <row r="20" ht="18" customHeight="1" s="127">
      <c r="B20" s="219">
        <f>Parametri!D27+-0.05</f>
        <v/>
      </c>
      <c r="C20" s="222" t="n">
        <v>-0.05</v>
      </c>
      <c r="D20" s="232">
        <f>Parametri!D36*(C20/Parametri!D27)</f>
        <v/>
      </c>
      <c r="E20" s="233">
        <f>D20-Parametri!C36</f>
        <v/>
      </c>
      <c r="F20" s="224">
        <f>IF(E20=0,"N/A",(Parametri!D23-Parametri!C23)/E20)</f>
        <v/>
      </c>
      <c r="G20" s="225">
        <f>IF(F20="N/A","N/A",F20/Parametri!C43-1)</f>
        <v/>
      </c>
      <c r="H20" s="140">
        <f>IF(F20="N/A","N/A",IF(F20&lt;Parametri!C43,"✓ Cost-effective","✗ Non cost-eff."))</f>
        <v/>
      </c>
    </row>
    <row r="21" ht="18" customHeight="1" s="127">
      <c r="B21" s="236">
        <f>Parametri!D27+0</f>
        <v/>
      </c>
      <c r="C21" s="227" t="n">
        <v>0</v>
      </c>
      <c r="D21" s="232">
        <f>Parametri!D36*(C21/Parametri!D27)</f>
        <v/>
      </c>
      <c r="E21" s="235">
        <f>D21-Parametri!C36</f>
        <v/>
      </c>
      <c r="F21" s="224">
        <f>IF(E21=0,"N/A",(Parametri!D23-Parametri!C23)/E21)</f>
        <v/>
      </c>
      <c r="G21" s="230">
        <f>IF(F21="N/A","N/A",F21/Parametri!C43-1)</f>
        <v/>
      </c>
      <c r="H21" s="146">
        <f>IF(F21="N/A","N/A",IF(F21&lt;Parametri!C43,"✓ Cost-effective","✗ Non cost-eff."))</f>
        <v/>
      </c>
    </row>
    <row r="22" ht="18" customHeight="1" s="127">
      <c r="B22" s="219">
        <f>Parametri!D27+0.05</f>
        <v/>
      </c>
      <c r="C22" s="222" t="n">
        <v>0.05</v>
      </c>
      <c r="D22" s="232">
        <f>Parametri!D36*(C22/Parametri!D27)</f>
        <v/>
      </c>
      <c r="E22" s="233">
        <f>D22-Parametri!C36</f>
        <v/>
      </c>
      <c r="F22" s="224">
        <f>IF(E22=0,"N/A",(Parametri!D23-Parametri!C23)/E22)</f>
        <v/>
      </c>
      <c r="G22" s="225">
        <f>IF(F22="N/A","N/A",F22/Parametri!C43-1)</f>
        <v/>
      </c>
      <c r="H22" s="140">
        <f>IF(F22="N/A","N/A",IF(F22&lt;Parametri!C43,"✓ Cost-effective","✗ Non cost-eff."))</f>
        <v/>
      </c>
    </row>
    <row r="23" ht="18" customHeight="1" s="127">
      <c r="B23" s="234">
        <f>Parametri!D27+0.1</f>
        <v/>
      </c>
      <c r="C23" s="227" t="n">
        <v>0.1</v>
      </c>
      <c r="D23" s="232">
        <f>Parametri!D36*(C23/Parametri!D27)</f>
        <v/>
      </c>
      <c r="E23" s="235">
        <f>D23-Parametri!C36</f>
        <v/>
      </c>
      <c r="F23" s="224">
        <f>IF(E23=0,"N/A",(Parametri!D23-Parametri!C23)/E23)</f>
        <v/>
      </c>
      <c r="G23" s="230">
        <f>IF(F23="N/A","N/A",F23/Parametri!C43-1)</f>
        <v/>
      </c>
      <c r="H23" s="146">
        <f>IF(F23="N/A","N/A",IF(F23&lt;Parametri!C43,"✓ Cost-effective","✗ Non cost-eff."))</f>
        <v/>
      </c>
    </row>
    <row r="24" ht="18" customHeight="1" s="127">
      <c r="B24" s="219">
        <f>Parametri!D27+0.15</f>
        <v/>
      </c>
      <c r="C24" s="222" t="n">
        <v>0.15</v>
      </c>
      <c r="D24" s="232">
        <f>Parametri!D36*(C24/Parametri!D27)</f>
        <v/>
      </c>
      <c r="E24" s="233">
        <f>D24-Parametri!C36</f>
        <v/>
      </c>
      <c r="F24" s="224">
        <f>IF(E24=0,"N/A",(Parametri!D23-Parametri!C23)/E24)</f>
        <v/>
      </c>
      <c r="G24" s="225">
        <f>IF(F24="N/A","N/A",F24/Parametri!C43-1)</f>
        <v/>
      </c>
      <c r="H24" s="140">
        <f>IF(F24="N/A","N/A",IF(F24&lt;Parametri!C43,"✓ Cost-effective","✗ Non cost-eff."))</f>
        <v/>
      </c>
    </row>
    <row r="25" ht="18" customHeight="1" s="127">
      <c r="B25" s="234">
        <f>Parametri!D27+0.2</f>
        <v/>
      </c>
      <c r="C25" s="227" t="n">
        <v>0.2</v>
      </c>
      <c r="D25" s="232">
        <f>Parametri!D36*(C25/Parametri!D27)</f>
        <v/>
      </c>
      <c r="E25" s="235">
        <f>D25-Parametri!C36</f>
        <v/>
      </c>
      <c r="F25" s="224">
        <f>IF(E25=0,"N/A",(Parametri!D23-Parametri!C23)/E25)</f>
        <v/>
      </c>
      <c r="G25" s="230">
        <f>IF(F25="N/A","N/A",F25/Parametri!C43-1)</f>
        <v/>
      </c>
      <c r="H25" s="146">
        <f>IF(F25="N/A","N/A",IF(F25&lt;Parametri!C43,"✓ Cost-effective","✗ Non cost-eff."))</f>
        <v/>
      </c>
    </row>
    <row r="27" ht="21.75" customHeight="1" s="127">
      <c r="B27" s="133" t="inlineStr">
        <is>
          <t>C. ANALISI TWO-WAY — ICER (€/QALY)  |  Righe: Costo iCBT  ·  Colonne: Risposta CC</t>
        </is>
      </c>
    </row>
    <row r="28" ht="15.75" customHeight="1" s="127">
      <c r="B28" s="129" t="inlineStr">
        <is>
          <t>Legenda: Verde ✓ = ICER &lt; soglia WTP (cost-effective)  |  Rosso ✗ = ICER &gt; soglia (non cost-effective)</t>
        </is>
      </c>
    </row>
    <row r="29" ht="19.5" customHeight="1" s="127">
      <c r="B29" s="237" t="inlineStr">
        <is>
          <t>Costo iCBT ↓  /  Resp.CC →</t>
        </is>
      </c>
      <c r="C29" s="238" t="n">
        <v>0.45</v>
      </c>
      <c r="D29" s="238" t="n">
        <v>0.5</v>
      </c>
      <c r="E29" s="238" t="n">
        <v>0.55</v>
      </c>
      <c r="F29" s="238" t="n">
        <v>0.61</v>
      </c>
      <c r="G29" s="238" t="n">
        <v>0.65</v>
      </c>
      <c r="H29" s="238" t="n">
        <v>0.7</v>
      </c>
    </row>
    <row r="30" ht="18" customHeight="1" s="127">
      <c r="B30" s="239" t="n">
        <v>300</v>
      </c>
      <c r="C30" s="240">
        <f>IF((Parametri!D36*(0.45/Parametri!D27)-Parametri!C36)=0,"N/A",(Parametri!D23-300)/(Parametri!D36*(0.45/Parametri!D27)-Parametri!C36))</f>
        <v/>
      </c>
      <c r="D30" s="240">
        <f>IF((Parametri!D36*(0.5/Parametri!D27)-Parametri!C36)=0,"N/A",(Parametri!D23-300)/(Parametri!D36*(0.5/Parametri!D27)-Parametri!C36))</f>
        <v/>
      </c>
      <c r="E30" s="240">
        <f>IF((Parametri!D36*(0.55/Parametri!D27)-Parametri!C36)=0,"N/A",(Parametri!D23-300)/(Parametri!D36*(0.55/Parametri!D27)-Parametri!C36))</f>
        <v/>
      </c>
      <c r="F30" s="240">
        <f>IF((Parametri!D36*(0.61/Parametri!D27)-Parametri!C36)=0,"N/A",(Parametri!D23-300)/(Parametri!D36*(0.61/Parametri!D27)-Parametri!C36))</f>
        <v/>
      </c>
      <c r="G30" s="240">
        <f>IF((Parametri!D36*(0.65/Parametri!D27)-Parametri!C36)=0,"N/A",(Parametri!D23-300)/(Parametri!D36*(0.65/Parametri!D27)-Parametri!C36))</f>
        <v/>
      </c>
      <c r="H30" s="240">
        <f>IF((Parametri!D36*(0.7/Parametri!D27)-Parametri!C36)=0,"N/A",(Parametri!D23-300)/(Parametri!D36*(0.7/Parametri!D27)-Parametri!C36))</f>
        <v/>
      </c>
    </row>
    <row r="31" ht="18" customHeight="1" s="127">
      <c r="B31" s="239" t="n">
        <v>400</v>
      </c>
      <c r="C31" s="241">
        <f>IF((Parametri!D36*(0.45/Parametri!D27)-Parametri!C36)=0,"N/A",(Parametri!D23-400)/(Parametri!D36*(0.45/Parametri!D27)-Parametri!C36))</f>
        <v/>
      </c>
      <c r="D31" s="241">
        <f>IF((Parametri!D36*(0.5/Parametri!D27)-Parametri!C36)=0,"N/A",(Parametri!D23-400)/(Parametri!D36*(0.5/Parametri!D27)-Parametri!C36))</f>
        <v/>
      </c>
      <c r="E31" s="241">
        <f>IF((Parametri!D36*(0.55/Parametri!D27)-Parametri!C36)=0,"N/A",(Parametri!D23-400)/(Parametri!D36*(0.55/Parametri!D27)-Parametri!C36))</f>
        <v/>
      </c>
      <c r="F31" s="241">
        <f>IF((Parametri!D36*(0.61/Parametri!D27)-Parametri!C36)=0,"N/A",(Parametri!D23-400)/(Parametri!D36*(0.61/Parametri!D27)-Parametri!C36))</f>
        <v/>
      </c>
      <c r="G31" s="241">
        <f>IF((Parametri!D36*(0.65/Parametri!D27)-Parametri!C36)=0,"N/A",(Parametri!D23-400)/(Parametri!D36*(0.65/Parametri!D27)-Parametri!C36))</f>
        <v/>
      </c>
      <c r="H31" s="241">
        <f>IF((Parametri!D36*(0.7/Parametri!D27)-Parametri!C36)=0,"N/A",(Parametri!D23-400)/(Parametri!D36*(0.7/Parametri!D27)-Parametri!C36))</f>
        <v/>
      </c>
    </row>
    <row r="32" ht="18" customHeight="1" s="127">
      <c r="B32" s="239" t="n">
        <v>510</v>
      </c>
      <c r="C32" s="240">
        <f>IF((Parametri!D36*(0.45/Parametri!D27)-Parametri!C36)=0,"N/A",(Parametri!D23-510)/(Parametri!D36*(0.45/Parametri!D27)-Parametri!C36))</f>
        <v/>
      </c>
      <c r="D32" s="240">
        <f>IF((Parametri!D36*(0.5/Parametri!D27)-Parametri!C36)=0,"N/A",(Parametri!D23-510)/(Parametri!D36*(0.5/Parametri!D27)-Parametri!C36))</f>
        <v/>
      </c>
      <c r="E32" s="240">
        <f>IF((Parametri!D36*(0.55/Parametri!D27)-Parametri!C36)=0,"N/A",(Parametri!D23-510)/(Parametri!D36*(0.55/Parametri!D27)-Parametri!C36))</f>
        <v/>
      </c>
      <c r="F32" s="240">
        <f>IF((Parametri!D36*(0.61/Parametri!D27)-Parametri!C36)=0,"N/A",(Parametri!D23-510)/(Parametri!D36*(0.61/Parametri!D27)-Parametri!C36))</f>
        <v/>
      </c>
      <c r="G32" s="240">
        <f>IF((Parametri!D36*(0.65/Parametri!D27)-Parametri!C36)=0,"N/A",(Parametri!D23-510)/(Parametri!D36*(0.65/Parametri!D27)-Parametri!C36))</f>
        <v/>
      </c>
      <c r="H32" s="240">
        <f>IF((Parametri!D36*(0.7/Parametri!D27)-Parametri!C36)=0,"N/A",(Parametri!D23-510)/(Parametri!D36*(0.7/Parametri!D27)-Parametri!C36))</f>
        <v/>
      </c>
    </row>
    <row r="33" ht="18" customHeight="1" s="127">
      <c r="B33" s="239" t="n">
        <v>610</v>
      </c>
      <c r="C33" s="241">
        <f>IF((Parametri!D36*(0.45/Parametri!D27)-Parametri!C36)=0,"N/A",(Parametri!D23-610)/(Parametri!D36*(0.45/Parametri!D27)-Parametri!C36))</f>
        <v/>
      </c>
      <c r="D33" s="241">
        <f>IF((Parametri!D36*(0.5/Parametri!D27)-Parametri!C36)=0,"N/A",(Parametri!D23-610)/(Parametri!D36*(0.5/Parametri!D27)-Parametri!C36))</f>
        <v/>
      </c>
      <c r="E33" s="241">
        <f>IF((Parametri!D36*(0.55/Parametri!D27)-Parametri!C36)=0,"N/A",(Parametri!D23-610)/(Parametri!D36*(0.55/Parametri!D27)-Parametri!C36))</f>
        <v/>
      </c>
      <c r="F33" s="241">
        <f>IF((Parametri!D36*(0.61/Parametri!D27)-Parametri!C36)=0,"N/A",(Parametri!D23-610)/(Parametri!D36*(0.61/Parametri!D27)-Parametri!C36))</f>
        <v/>
      </c>
      <c r="G33" s="241">
        <f>IF((Parametri!D36*(0.65/Parametri!D27)-Parametri!C36)=0,"N/A",(Parametri!D23-610)/(Parametri!D36*(0.65/Parametri!D27)-Parametri!C36))</f>
        <v/>
      </c>
      <c r="H33" s="241">
        <f>IF((Parametri!D36*(0.7/Parametri!D27)-Parametri!C36)=0,"N/A",(Parametri!D23-610)/(Parametri!D36*(0.7/Parametri!D27)-Parametri!C36))</f>
        <v/>
      </c>
    </row>
    <row r="34" ht="18" customHeight="1" s="127">
      <c r="B34" s="239" t="n">
        <v>750</v>
      </c>
      <c r="C34" s="240">
        <f>IF((Parametri!D36*(0.45/Parametri!D27)-Parametri!C36)=0,"N/A",(Parametri!D23-750)/(Parametri!D36*(0.45/Parametri!D27)-Parametri!C36))</f>
        <v/>
      </c>
      <c r="D34" s="240">
        <f>IF((Parametri!D36*(0.5/Parametri!D27)-Parametri!C36)=0,"N/A",(Parametri!D23-750)/(Parametri!D36*(0.5/Parametri!D27)-Parametri!C36))</f>
        <v/>
      </c>
      <c r="E34" s="240">
        <f>IF((Parametri!D36*(0.55/Parametri!D27)-Parametri!C36)=0,"N/A",(Parametri!D23-750)/(Parametri!D36*(0.55/Parametri!D27)-Parametri!C36))</f>
        <v/>
      </c>
      <c r="F34" s="240">
        <f>IF((Parametri!D36*(0.61/Parametri!D27)-Parametri!C36)=0,"N/A",(Parametri!D23-750)/(Parametri!D36*(0.61/Parametri!D27)-Parametri!C36))</f>
        <v/>
      </c>
      <c r="G34" s="240">
        <f>IF((Parametri!D36*(0.65/Parametri!D27)-Parametri!C36)=0,"N/A",(Parametri!D23-750)/(Parametri!D36*(0.65/Parametri!D27)-Parametri!C36))</f>
        <v/>
      </c>
      <c r="H34" s="240">
        <f>IF((Parametri!D36*(0.7/Parametri!D27)-Parametri!C36)=0,"N/A",(Parametri!D23-750)/(Parametri!D36*(0.7/Parametri!D27)-Parametri!C36))</f>
        <v/>
      </c>
    </row>
    <row r="35" ht="18" customHeight="1" s="127">
      <c r="B35" s="239" t="n">
        <v>900</v>
      </c>
      <c r="C35" s="241">
        <f>IF((Parametri!D36*(0.45/Parametri!D27)-Parametri!C36)=0,"N/A",(Parametri!D23-900)/(Parametri!D36*(0.45/Parametri!D27)-Parametri!C36))</f>
        <v/>
      </c>
      <c r="D35" s="241">
        <f>IF((Parametri!D36*(0.5/Parametri!D27)-Parametri!C36)=0,"N/A",(Parametri!D23-900)/(Parametri!D36*(0.5/Parametri!D27)-Parametri!C36))</f>
        <v/>
      </c>
      <c r="E35" s="241">
        <f>IF((Parametri!D36*(0.55/Parametri!D27)-Parametri!C36)=0,"N/A",(Parametri!D23-900)/(Parametri!D36*(0.55/Parametri!D27)-Parametri!C36))</f>
        <v/>
      </c>
      <c r="F35" s="241">
        <f>IF((Parametri!D36*(0.61/Parametri!D27)-Parametri!C36)=0,"N/A",(Parametri!D23-900)/(Parametri!D36*(0.61/Parametri!D27)-Parametri!C36))</f>
        <v/>
      </c>
      <c r="G35" s="241">
        <f>IF((Parametri!D36*(0.65/Parametri!D27)-Parametri!C36)=0,"N/A",(Parametri!D23-900)/(Parametri!D36*(0.65/Parametri!D27)-Parametri!C36))</f>
        <v/>
      </c>
      <c r="H35" s="241">
        <f>IF((Parametri!D36*(0.7/Parametri!D27)-Parametri!C36)=0,"N/A",(Parametri!D23-900)/(Parametri!D36*(0.7/Parametri!D27)-Parametri!C36))</f>
        <v/>
      </c>
    </row>
    <row r="37" ht="21.75" customHeight="1" s="127">
      <c r="B37" s="133" t="inlineStr">
        <is>
          <t>D. TORNADO — Impatto Parametri sull'ICER (da letteratura)</t>
        </is>
      </c>
    </row>
    <row r="38" ht="21.75" customHeight="1" s="127">
      <c r="B38" s="133" t="inlineStr">
        <is>
          <t>Parametro</t>
        </is>
      </c>
      <c r="C38" s="134" t="inlineStr">
        <is>
          <t>Valore basso</t>
        </is>
      </c>
      <c r="D38" s="133" t="inlineStr">
        <is>
          <t>Valore base</t>
        </is>
      </c>
      <c r="E38" s="135" t="inlineStr">
        <is>
          <t>Valore alto</t>
        </is>
      </c>
      <c r="F38" s="134" t="inlineStr">
        <is>
          <t>Range ICER basso</t>
        </is>
      </c>
      <c r="G38" s="135" t="inlineStr">
        <is>
          <t>Range ICER alto</t>
        </is>
      </c>
      <c r="H38" s="133" t="inlineStr">
        <is>
          <t>Ampiezza range (€)</t>
        </is>
      </c>
    </row>
    <row r="39" ht="18" customHeight="1" s="127">
      <c r="B39" s="136" t="inlineStr">
        <is>
          <t>Costo terapista iCBT (€)</t>
        </is>
      </c>
      <c r="C39" s="242" t="n">
        <v>40</v>
      </c>
      <c r="D39" s="243" t="n">
        <v>80</v>
      </c>
      <c r="E39" s="244" t="n">
        <v>120</v>
      </c>
      <c r="F39" s="240" t="n">
        <v>8500</v>
      </c>
      <c r="G39" s="158" t="n">
        <v>42000</v>
      </c>
      <c r="H39" s="217">
        <f>G39-F39</f>
        <v/>
      </c>
    </row>
    <row r="40" ht="18" customHeight="1" s="127">
      <c r="B40" s="142" t="inlineStr">
        <is>
          <t>QALY guadagnato CC anno 1</t>
        </is>
      </c>
      <c r="C40" s="242" t="n">
        <v>0.04</v>
      </c>
      <c r="D40" s="245" t="n">
        <v>0.062</v>
      </c>
      <c r="E40" s="244" t="n">
        <v>0.09</v>
      </c>
      <c r="F40" s="240" t="n">
        <v>6000</v>
      </c>
      <c r="G40" s="158" t="n">
        <v>68000</v>
      </c>
      <c r="H40" s="217">
        <f>G40-F40</f>
        <v/>
      </c>
    </row>
    <row r="41" ht="18" customHeight="1" s="127">
      <c r="B41" s="136" t="inlineStr">
        <is>
          <t>Tasso risposta CC (%)</t>
        </is>
      </c>
      <c r="C41" s="242" t="n">
        <v>0.5</v>
      </c>
      <c r="D41" s="243" t="n">
        <v>0.61</v>
      </c>
      <c r="E41" s="244" t="n">
        <v>0.72</v>
      </c>
      <c r="F41" s="240" t="n">
        <v>4000</v>
      </c>
      <c r="G41" s="158" t="n">
        <v>55000</v>
      </c>
      <c r="H41" s="217">
        <f>G41-F41</f>
        <v/>
      </c>
    </row>
    <row r="42" ht="18" customHeight="1" s="127">
      <c r="B42" s="142" t="inlineStr">
        <is>
          <t>Costo programma CC (€)</t>
        </is>
      </c>
      <c r="C42" s="242" t="n">
        <v>650</v>
      </c>
      <c r="D42" s="245" t="n">
        <v>850</v>
      </c>
      <c r="E42" s="244" t="n">
        <v>1100</v>
      </c>
      <c r="F42" s="240" t="n">
        <v>3500</v>
      </c>
      <c r="G42" s="158" t="n">
        <v>48000</v>
      </c>
      <c r="H42" s="217">
        <f>G42-F42</f>
        <v/>
      </c>
    </row>
    <row r="43" ht="18" customHeight="1" s="127">
      <c r="B43" s="136" t="inlineStr">
        <is>
          <t>Soglia WTP (€/QALY)</t>
        </is>
      </c>
      <c r="C43" s="242" t="n">
        <v>20000</v>
      </c>
      <c r="D43" s="243" t="n">
        <v>30000</v>
      </c>
      <c r="E43" s="244" t="n">
        <v>45000</v>
      </c>
      <c r="F43" s="240" t="n">
        <v>0</v>
      </c>
      <c r="G43" s="158" t="n">
        <v>0</v>
      </c>
      <c r="H43" s="246" t="inlineStr">
        <is>
          <t>Range WTP cambia giudizio, non ICER</t>
        </is>
      </c>
    </row>
    <row r="44" ht="18" customHeight="1" s="127">
      <c r="B44" s="142" t="inlineStr">
        <is>
          <t>Tasso abbandono iCBT (%)</t>
        </is>
      </c>
      <c r="C44" s="242" t="n">
        <v>0.15</v>
      </c>
      <c r="D44" s="245" t="n">
        <v>0.28</v>
      </c>
      <c r="E44" s="244" t="n">
        <v>0.4</v>
      </c>
      <c r="F44" s="240" t="n">
        <v>9000</v>
      </c>
      <c r="G44" s="158" t="n">
        <v>36000</v>
      </c>
      <c r="H44" s="217">
        <f>G44-F44</f>
        <v/>
      </c>
    </row>
    <row r="45" ht="18" customHeight="1" s="127">
      <c r="B45" s="136" t="inlineStr">
        <is>
          <t>Sconto temporale (%)</t>
        </is>
      </c>
      <c r="C45" s="242" t="n">
        <v>0.015</v>
      </c>
      <c r="D45" s="243" t="n">
        <v>0.035</v>
      </c>
      <c r="E45" s="244" t="n">
        <v>0.05</v>
      </c>
      <c r="F45" s="240" t="n">
        <v>2000</v>
      </c>
      <c r="G45" s="158" t="n">
        <v>18000</v>
      </c>
      <c r="H45" s="217">
        <f>G45-F45</f>
        <v/>
      </c>
    </row>
  </sheetData>
  <mergeCells count="7">
    <mergeCell ref="B27:H27"/>
    <mergeCell ref="B2:H2"/>
    <mergeCell ref="B16:H16"/>
    <mergeCell ref="B3:H3"/>
    <mergeCell ref="B5:H5"/>
    <mergeCell ref="B37:H37"/>
    <mergeCell ref="B28:H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2026-06-26T19:42:56Z</dcterms:created>
  <dcterms:modified xmlns:dcterms="http://purl.org/dc/terms/" xmlns:xsi="http://www.w3.org/2001/XMLSchema-instance" xsi:type="dcterms:W3CDTF">2026-06-26T19:49:17Z</dcterms:modified>
  <cp:revision>0</cp:revision>
</cp:coreProperties>
</file>