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Guida_Rapida" sheetId="1" state="visible" r:id="rId3"/>
    <sheet name="1_Modello_Base" sheetId="2" state="visible" r:id="rId4"/>
    <sheet name="2_Analisi_Sensibilità" sheetId="3" state="visible" r:id="rId5"/>
    <sheet name="3_Tornado_Diagram" sheetId="4" state="visible" r:id="rId6"/>
    <sheet name="4_Checklist_Valid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<sst xmlns="http://schemas.openxmlformats.org/spreadsheetml/2006/main" count="215" uniqueCount="157">
  <si>
    <t xml:space="preserve">GUIDA RAPIDA — COME USARE QUESTO WORKBOOK</t>
  </si>
  <si>
    <t xml:space="preserve">FOGLIO</t>
  </si>
  <si>
    <t xml:space="preserve">CONTENUTO E AZIONE</t>
  </si>
  <si>
    <t xml:space="preserve">1_Modello_Base</t>
  </si>
  <si>
    <t xml:space="preserve">Inserire i valori baseline dei parametri (colonna D, righe 6-13). L'ICER baseline si ricalcola automaticamente in D21.</t>
  </si>
  <si>
    <t xml:space="preserve">2_Analisi_Sensibilità</t>
  </si>
  <si>
    <t xml:space="preserve">Verifica i range Low/High (±20% auto-calcolati). Colonna L = ampiezza swing. Colonna M = rank automatico.</t>
  </si>
  <si>
    <t xml:space="preserve">3_Tornado_Diagram</t>
  </si>
  <si>
    <t xml:space="preserve">Il grafico si aggiorna automaticamente dai dati della tabella. Per aggiornare il baseline, modifica E6:E13 con il nuovo ICER.</t>
  </si>
  <si>
    <t xml:space="preserve">4_Checklist_Validazione</t>
  </si>
  <si>
    <t xml:space="preserve">Compilare la colonna Stato (F) usando il dropdown. Completare tutti i 17 controlli prima della submission HTA.</t>
  </si>
  <si>
    <t xml:space="preserve">STEP OPERATIVI</t>
  </si>
  <si>
    <t xml:space="preserve">STEP 1</t>
  </si>
  <si>
    <t xml:space="preserve">Inserire parametri reali in 1_Modello_Base (D6:D13)</t>
  </si>
  <si>
    <t xml:space="preserve">STEP 2</t>
  </si>
  <si>
    <t xml:space="preserve">Verificare ICER baseline in D21</t>
  </si>
  <si>
    <t xml:space="preserve">STEP 3</t>
  </si>
  <si>
    <t xml:space="preserve">In 2_Analisi_Sensibilità, aggiornare ICER Low/High (H,I) con i valori del proprio modello</t>
  </si>
  <si>
    <t xml:space="preserve">STEP 4</t>
  </si>
  <si>
    <t xml:space="preserve">Il Tornado Diagram in 3_Tornado_Diagram si aggiorna automaticamente</t>
  </si>
  <si>
    <t xml:space="preserve">STEP 5</t>
  </si>
  <si>
    <t xml:space="preserve">Completare la checklist in 4_Checklist_Validazione</t>
  </si>
  <si>
    <t xml:space="preserve">STEP 6</t>
  </si>
  <si>
    <t xml:space="preserve">Esportare il grafico Tornado come immagine per report/HTA dossier</t>
  </si>
  <si>
    <t xml:space="preserve">MODELLO DI COSTO-EFFICACIA — PARAMETRI BASELINE</t>
  </si>
  <si>
    <t xml:space="preserve">Trattamento A vs. Trattamento B (Comparatore) — WTP threshold: €30.000/QALY</t>
  </si>
  <si>
    <t xml:space="preserve">ID</t>
  </si>
  <si>
    <t xml:space="preserve">Parametro</t>
  </si>
  <si>
    <t xml:space="preserve">Valore Baseline</t>
  </si>
  <si>
    <t xml:space="preserve">Unità</t>
  </si>
  <si>
    <t xml:space="preserve">Fonte / Note</t>
  </si>
  <si>
    <t xml:space="preserve">P1</t>
  </si>
  <si>
    <t xml:space="preserve">Costo trattamento A (€)</t>
  </si>
  <si>
    <t xml:space="preserve">€/paziente</t>
  </si>
  <si>
    <t xml:space="preserve">Listino farmaceutico 2024</t>
  </si>
  <si>
    <t xml:space="preserve">P2</t>
  </si>
  <si>
    <t xml:space="preserve">Costo trattamento B (comparatore, €)</t>
  </si>
  <si>
    <t xml:space="preserve">Tariffa DRG regionale</t>
  </si>
  <si>
    <t xml:space="preserve">P3</t>
  </si>
  <si>
    <t xml:space="preserve">Efficacia A (QALY guadagnati)</t>
  </si>
  <si>
    <t xml:space="preserve">QALY</t>
  </si>
  <si>
    <t xml:space="preserve">RCT pivotal, 3 anni</t>
  </si>
  <si>
    <t xml:space="preserve">P4</t>
  </si>
  <si>
    <t xml:space="preserve">Efficacia B (QALY guadagnati)</t>
  </si>
  <si>
    <t xml:space="preserve">Metanalisi Cochrane</t>
  </si>
  <si>
    <t xml:space="preserve">P5</t>
  </si>
  <si>
    <t xml:space="preserve">Costi ospedalizzazione A (€)</t>
  </si>
  <si>
    <t xml:space="preserve">Banca dati SDO</t>
  </si>
  <si>
    <t xml:space="preserve">P6</t>
  </si>
  <si>
    <t xml:space="preserve">Costi ospedalizzazione B (€)</t>
  </si>
  <si>
    <t xml:space="preserve">P7</t>
  </si>
  <si>
    <t xml:space="preserve">Tasso di sconto (%)</t>
  </si>
  <si>
    <t xml:space="preserve">%/anno</t>
  </si>
  <si>
    <t xml:space="preserve">Linee guida HTA nazionali</t>
  </si>
  <si>
    <t xml:space="preserve">P8</t>
  </si>
  <si>
    <t xml:space="preserve">Orizzonte temporale (anni)</t>
  </si>
  <si>
    <t xml:space="preserve">anni</t>
  </si>
  <si>
    <t xml:space="preserve">Assunzione modellistica</t>
  </si>
  <si>
    <t xml:space="preserve">CALCOLO ICER BASELINE</t>
  </si>
  <si>
    <t xml:space="preserve">Componente</t>
  </si>
  <si>
    <t xml:space="preserve">Formula / Valore</t>
  </si>
  <si>
    <t xml:space="preserve">ΔCosti (A − B)</t>
  </si>
  <si>
    <t xml:space="preserve">€</t>
  </si>
  <si>
    <t xml:space="preserve">ΔEfficacia (A − B)</t>
  </si>
  <si>
    <t xml:space="preserve">ICER Baseline</t>
  </si>
  <si>
    <t xml:space="preserve">€/QALY</t>
  </si>
  <si>
    <t xml:space="preserve">ANALISI DI SENSIBILITÀ UNIVARIATA — RANGE ±20%</t>
  </si>
  <si>
    <t xml:space="preserve">Ogni parametro viene variato ±20% rispetto al valore baseline mantenendo costanti tutti gli altri parametri (ceteris paribus)</t>
  </si>
  <si>
    <t xml:space="preserve">Baseline</t>
  </si>
  <si>
    <t xml:space="preserve">Low (−20%)</t>
  </si>
  <si>
    <t xml:space="preserve">High (+20%)</t>
  </si>
  <si>
    <t xml:space="preserve">ICER Baseline (€/QALY)</t>
  </si>
  <si>
    <t xml:space="preserve">ICER Low (€/QALY)</t>
  </si>
  <si>
    <t xml:space="preserve">ICER High (€/QALY)</t>
  </si>
  <si>
    <t xml:space="preserve">ΔICER Low</t>
  </si>
  <si>
    <t xml:space="preserve">ΔICER High</t>
  </si>
  <si>
    <t xml:space="preserve">Range ΔICER</t>
  </si>
  <si>
    <t xml:space="preserve">Rank Impatto</t>
  </si>
  <si>
    <t xml:space="preserve">Costo trattamento B (€)</t>
  </si>
  <si>
    <t xml:space="preserve">Efficacia A (QALY)</t>
  </si>
  <si>
    <t xml:space="preserve">⚑  WTP threshold = €30.000/QALY  |  ICER baseline (€45.385) &gt; WTP → Trattamento A non cost-effective al baseline</t>
  </si>
  <si>
    <t xml:space="preserve">TORNADO DIAGRAM — ANALISI DI SENSIBILITÀ UNIVARIATA DELL'ICER</t>
  </si>
  <si>
    <t xml:space="preserve">Parametri ordinati per ampiezza di impatto sull'ICER (swing = |ICER_High − ICER_Low|). ICER baseline = €45.385/QALY</t>
  </si>
  <si>
    <t xml:space="preserve">Rank</t>
  </si>
  <si>
    <t xml:space="preserve">Parametro (variato ±20%)</t>
  </si>
  <si>
    <t xml:space="preserve">ICER_Low (€/QALY)</t>
  </si>
  <si>
    <t xml:space="preserve">ICER_High (€/QALY)</t>
  </si>
  <si>
    <t xml:space="preserve">Swing inferiore (→baseline)</t>
  </si>
  <si>
    <t xml:space="preserve">Swing superiore (→baseline)</t>
  </si>
  <si>
    <t xml:space="preserve">Efficacia B (QALY)</t>
  </si>
  <si>
    <t xml:space="preserve">Linea WTP = €30.000/QALY  |  Barra BLU = ICER low (riduzione ICER / beneficio comparativo)  |  Barra ARANCIONE = ICER high (aumento ICER / peggioramento costo-efficacia)</t>
  </si>
  <si>
    <t xml:space="preserve">CHECKLIST DI VALIDAZIONE — ANALISI DI SENSIBILITÀ E MODELLO CEA</t>
  </si>
  <si>
    <t xml:space="preserve">#</t>
  </si>
  <si>
    <t xml:space="preserve">Area</t>
  </si>
  <si>
    <t xml:space="preserve">Controllo</t>
  </si>
  <si>
    <t xml:space="preserve">Criteri di accettazione</t>
  </si>
  <si>
    <t xml:space="preserve">Stato</t>
  </si>
  <si>
    <t xml:space="preserve">Note/Riferimento</t>
  </si>
  <si>
    <t xml:space="preserve">1</t>
  </si>
  <si>
    <t xml:space="preserve">Parametri</t>
  </si>
  <si>
    <t xml:space="preserve">Range di variazione giustificato</t>
  </si>
  <si>
    <t xml:space="preserve">±20% o IC 95% da letteratura documentato</t>
  </si>
  <si>
    <t xml:space="preserve">☐ Da fare</t>
  </si>
  <si>
    <t xml:space="preserve">2</t>
  </si>
  <si>
    <t xml:space="preserve">Tutti i parametri chiave inclusi</t>
  </si>
  <si>
    <t xml:space="preserve">Almeno efficacia, costi diretti, utilità</t>
  </si>
  <si>
    <t xml:space="preserve">3</t>
  </si>
  <si>
    <t xml:space="preserve">Distribuzione probabilistica definita</t>
  </si>
  <si>
    <t xml:space="preserve">Beta/Gamma/Log-Normal assegnate per PSA</t>
  </si>
  <si>
    <t xml:space="preserve">4</t>
  </si>
  <si>
    <t xml:space="preserve">ICER</t>
  </si>
  <si>
    <t xml:space="preserve">Formula ICER verificata</t>
  </si>
  <si>
    <t xml:space="preserve">ΔC/ΔE = (CostA-CostB)/(QALYAB)</t>
  </si>
  <si>
    <t xml:space="preserve">5</t>
  </si>
  <si>
    <t xml:space="preserve">Segno ΔE positivo verificato</t>
  </si>
  <si>
    <t xml:space="preserve">Efficacia A &gt; B, altrimenti 4° quadrante</t>
  </si>
  <si>
    <t xml:space="preserve">6</t>
  </si>
  <si>
    <t xml:space="preserve">Unità di misura consistenti</t>
  </si>
  <si>
    <t xml:space="preserve">€ e QALY stessa valuta/anno base</t>
  </si>
  <si>
    <t xml:space="preserve">7</t>
  </si>
  <si>
    <t xml:space="preserve">Tornado</t>
  </si>
  <si>
    <t xml:space="preserve">Ordinamento per swing decrescente</t>
  </si>
  <si>
    <t xml:space="preserve">Parametro n°1 = ampiezza range massima</t>
  </si>
  <si>
    <t xml:space="preserve">8</t>
  </si>
  <si>
    <t xml:space="preserve">Baseline line visibile nel grafico</t>
  </si>
  <si>
    <t xml:space="preserve">Linea verticale a ICER = €45.385</t>
  </si>
  <si>
    <t xml:space="preserve">9</t>
  </si>
  <si>
    <t xml:space="preserve">Differenziazione cromatica Low/High</t>
  </si>
  <si>
    <t xml:space="preserve">Blu = ICER scende, Arancione = ICER sale</t>
  </si>
  <si>
    <t xml:space="preserve">10</t>
  </si>
  <si>
    <t xml:space="preserve">WTP threshold riportata</t>
  </si>
  <si>
    <t xml:space="preserve">Soglia €30.000/QALY indicata esplicitamente</t>
  </si>
  <si>
    <t xml:space="preserve">11</t>
  </si>
  <si>
    <t xml:space="preserve">Sensibilità</t>
  </si>
  <si>
    <t xml:space="preserve">Test parametri dominanti (Rank 1-3)</t>
  </si>
  <si>
    <t xml:space="preserve">Cambio decisionale al variare del top-3?</t>
  </si>
  <si>
    <t xml:space="preserve">12</t>
  </si>
  <si>
    <t xml:space="preserve">Analisi a due vie per coppie correlate</t>
  </si>
  <si>
    <t xml:space="preserve">Es. efficacia A &amp; B variano insieme</t>
  </si>
  <si>
    <t xml:space="preserve">13</t>
  </si>
  <si>
    <t xml:space="preserve">PSA</t>
  </si>
  <si>
    <t xml:space="preserve">PSA ≥ 1.000 iterazioni eseguite</t>
  </si>
  <si>
    <t xml:space="preserve">Scatterplot costo-efficacia e CEAC prodotti</t>
  </si>
  <si>
    <t xml:space="preserve">14</t>
  </si>
  <si>
    <t xml:space="preserve">CEAC riporta soglie WTP multiple</t>
  </si>
  <si>
    <t xml:space="preserve">Almeno 3 soglie: 20k, 30k, 50k €/QALY</t>
  </si>
  <si>
    <t xml:space="preserve">15</t>
  </si>
  <si>
    <t xml:space="preserve">Report</t>
  </si>
  <si>
    <t xml:space="preserve">Tabella risultati DSA completa allegata</t>
  </si>
  <si>
    <t xml:space="preserve">ICER Low, Base, High per ogni parametro</t>
  </si>
  <si>
    <t xml:space="preserve">16</t>
  </si>
  <si>
    <t xml:space="preserve">Assunzioni chiave documentate</t>
  </si>
  <si>
    <t xml:space="preserve">Orizzonte, sconto, prospettiva dichiarati</t>
  </si>
  <si>
    <t xml:space="preserve">17</t>
  </si>
  <si>
    <t xml:space="preserve">Conformità linee guida HTA (NICE/AIFA)</t>
  </si>
  <si>
    <t xml:space="preserve">Metodi coerenti con HTAi/ISPOR guidelines</t>
  </si>
  <si>
    <t xml:space="preserve">LEGENDA STATI:  ☐ Da fare = controllo non ancora eseguito  |  ✓ Completato = superato  |  ⚠ Parziale = in corso / incompleto  |  ✗ Non applic = non applicabile al modello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</si>
</sst>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%"/>
    <numFmt numFmtId="168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10"/>
      <color rgb="FF5A595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A84B2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A84B2F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i val="true"/>
      <sz val="9"/>
      <color rgb="FF5A595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8A8F"/>
        <bgColor rgb="FF339966"/>
      </patternFill>
    </fill>
    <fill>
      <patternFill patternType="solid">
        <fgColor rgb="FF2C6B70"/>
        <bgColor rgb="FF1B8A8F"/>
      </patternFill>
    </fill>
    <fill>
      <patternFill patternType="solid">
        <fgColor rgb="FFFFFFFF"/>
        <bgColor rgb="FFF7F6F2"/>
      </patternFill>
    </fill>
    <fill>
      <patternFill patternType="solid">
        <fgColor rgb="FFF7F6F2"/>
        <bgColor rgb="FFFDECEA"/>
      </patternFill>
    </fill>
    <fill>
      <patternFill patternType="solid">
        <fgColor rgb="FFFDECEA"/>
        <bgColor rgb="FFF7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D4D1CA"/>
      <rgbColor rgb="FF878787"/>
      <rgbColor rgb="FF9999FF"/>
      <rgbColor rgb="FF993366"/>
      <rgbColor rgb="FFF7F6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C6B7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957"/>
      <rgbColor rgb="FF969696"/>
      <rgbColor rgb="FF003366"/>
      <rgbColor rgb="FF339966"/>
      <rgbColor rgb="FF003300"/>
      <rgbColor rgb="FF1A1A1A"/>
      <rgbColor rgb="FFA84B2F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Diagram — Impatto sull'ICER (±20%)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'3_Tornado_Diagram'!G5</c:f>
              <c:strCache>
                <c:ptCount val="1"/>
                <c:pt idx="0">
                  <c:v>Swing inferiore (→baseline)</c:v>
                </c:pt>
              </c:strCache>
            </c:strRef>
          </c:tx>
          <c:spPr>
            <a:solidFill>
              <a:srgbClr val="1B47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'3_Tornado_Diagram'!$C$6:$C$13</c:f>
              <c:strCache>
                <c:ptCount val="8"/>
                <c:pt idx="0">
                  <c:v>Efficacia A (QALY)</c:v>
                </c:pt>
                <c:pt idx="1">
                  <c:v>Efficacia B (QALY)</c:v>
                </c:pt>
                <c:pt idx="2">
                  <c:v>Costo trattamento A (€)</c:v>
                </c:pt>
                <c:pt idx="3">
                  <c:v>Costo trattamento B (€)</c:v>
                </c:pt>
                <c:pt idx="4">
                  <c:v>Costi ospedalizzazione B (€)</c:v>
                </c:pt>
                <c:pt idx="5">
                  <c:v>Costi ospedalizzazione A (€)</c:v>
                </c:pt>
                <c:pt idx="6">
                  <c:v>Orizzonte temporale (anni)</c:v>
                </c:pt>
                <c:pt idx="7">
                  <c:v>Tasso di sconto (%)</c:v>
                </c:pt>
              </c:strCache>
            </c:strRef>
          </c:cat>
          <c:val>
            <c:numRef>
              <c:f>'3_Tornado_Diagram'!$G$6:$G$13</c:f>
              <c:numCache>
                <c:formatCode>#,##0</c:formatCode>
                <c:ptCount val="8"/>
                <c:pt idx="0">
                  <c:v>26837</c:v>
                </c:pt>
                <c:pt idx="1">
                  <c:v>-11767</c:v>
                </c:pt>
                <c:pt idx="2">
                  <c:v>-17693</c:v>
                </c:pt>
                <c:pt idx="3">
                  <c:v>6846</c:v>
                </c:pt>
                <c:pt idx="4">
                  <c:v>5846</c:v>
                </c:pt>
                <c:pt idx="5">
                  <c:v>-6308</c:v>
                </c:pt>
                <c:pt idx="6">
                  <c:v>3846</c:v>
                </c:pt>
                <c:pt idx="7">
                  <c:v>-3275</c:v>
                </c:pt>
              </c:numCache>
            </c:numRef>
          </c:val>
        </c:ser>
        <c:ser>
          <c:idx val="1"/>
          <c:order val="1"/>
          <c:tx>
            <c:strRef>
              <c:f>'3_Tornado_Diagram'!H5</c:f>
              <c:strCache>
                <c:ptCount val="1"/>
                <c:pt idx="0">
                  <c:v>Swing superiore (→baseline)</c:v>
                </c:pt>
              </c:strCache>
            </c:strRef>
          </c:tx>
          <c:spPr>
            <a:solidFill>
              <a:srgbClr val="A84B2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'3_Tornado_Diagram'!$C$6:$C$13</c:f>
              <c:strCache>
                <c:ptCount val="8"/>
                <c:pt idx="0">
                  <c:v>Efficacia A (QALY)</c:v>
                </c:pt>
                <c:pt idx="1">
                  <c:v>Efficacia B (QALY)</c:v>
                </c:pt>
                <c:pt idx="2">
                  <c:v>Costo trattamento A (€)</c:v>
                </c:pt>
                <c:pt idx="3">
                  <c:v>Costo trattamento B (€)</c:v>
                </c:pt>
                <c:pt idx="4">
                  <c:v>Costi ospedalizzazione B (€)</c:v>
                </c:pt>
                <c:pt idx="5">
                  <c:v>Costi ospedalizzazione A (€)</c:v>
                </c:pt>
                <c:pt idx="6">
                  <c:v>Orizzonte temporale (anni)</c:v>
                </c:pt>
                <c:pt idx="7">
                  <c:v>Tasso di sconto (%)</c:v>
                </c:pt>
              </c:strCache>
            </c:strRef>
          </c:cat>
          <c:val>
            <c:numRef>
              <c:f>'3_Tornado_Diagram'!$H$6:$H$13</c:f>
              <c:numCache>
                <c:formatCode>#,##0</c:formatCode>
                <c:ptCount val="8"/>
                <c:pt idx="0">
                  <c:v>-11767</c:v>
                </c:pt>
                <c:pt idx="1">
                  <c:v>19450</c:v>
                </c:pt>
                <c:pt idx="2">
                  <c:v>17692</c:v>
                </c:pt>
                <c:pt idx="3">
                  <c:v>-6846</c:v>
                </c:pt>
                <c:pt idx="4">
                  <c:v>-5847</c:v>
                </c:pt>
                <c:pt idx="5">
                  <c:v>6307</c:v>
                </c:pt>
                <c:pt idx="6">
                  <c:v>-3385</c:v>
                </c:pt>
                <c:pt idx="7">
                  <c:v>3275</c:v>
                </c:pt>
              </c:numCache>
            </c:numRef>
          </c:val>
        </c:ser>
        <c:gapWidth val="150"/>
        <c:overlap val="100"/>
        <c:axId val="43471760"/>
        <c:axId val="46551588"/>
      </c:barChart>
      <c:catAx>
        <c:axId val="4347176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ΔICER rispetto al baseline (€/QALY)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51588"/>
        <c:crosses val="autoZero"/>
        <c:auto val="1"/>
        <c:lblAlgn val="ctr"/>
        <c:lblOffset val="100"/>
        <c:noMultiLvlLbl val="0"/>
      </c:catAx>
      <c:valAx>
        <c:axId val="46551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Parametro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4717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6</xdr:col>
      <xdr:colOff>1379160</xdr:colOff>
      <xdr:row>47</xdr:row>
      <xdr:rowOff>44280</xdr:rowOff>
    </xdr:to>
    <xdr:graphicFrame>
      <xdr:nvGraphicFramePr>
        <xdr:cNvPr id="1" name="Chart 1"/>
        <xdr:cNvGraphicFramePr/>
      </xdr:nvGraphicFramePr>
      <xdr:xfrm>
        <a:off x="211320" y="3448080"/>
        <a:ext cx="863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65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 t="s">
        <v>0</v>
      </c>
      <c r="C2" s="2"/>
    </row>
    <row r="4" customFormat="false" ht="21.75" hidden="false" customHeight="true" outlineLevel="0" collapsed="false">
      <c r="B4" s="3" t="s">
        <v>1</v>
      </c>
      <c r="C4" s="4" t="s">
        <v>2</v>
      </c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30" hidden="false" customHeight="true" outlineLevel="0" collapsed="false">
      <c r="B6" s="7" t="s">
        <v>5</v>
      </c>
      <c r="C6" s="8" t="s">
        <v>6</v>
      </c>
    </row>
    <row r="7" customFormat="false" ht="30" hidden="false" customHeight="true" outlineLevel="0" collapsed="false">
      <c r="B7" s="5" t="s">
        <v>7</v>
      </c>
      <c r="C7" s="6" t="s">
        <v>8</v>
      </c>
    </row>
    <row r="8" customFormat="false" ht="30" hidden="false" customHeight="true" outlineLevel="0" collapsed="false">
      <c r="B8" s="7" t="s">
        <v>9</v>
      </c>
      <c r="C8" s="8" t="s">
        <v>10</v>
      </c>
    </row>
    <row r="9" customFormat="false" ht="7.5" hidden="false" customHeight="true" outlineLevel="0" collapsed="false"/>
    <row r="10" customFormat="false" ht="21.75" hidden="false" customHeight="true" outlineLevel="0" collapsed="false">
      <c r="B10" s="3" t="s">
        <v>11</v>
      </c>
      <c r="C10" s="4"/>
    </row>
    <row r="11" customFormat="false" ht="30" hidden="false" customHeight="true" outlineLevel="0" collapsed="false">
      <c r="B11" s="5" t="s">
        <v>12</v>
      </c>
      <c r="C11" s="6" t="s">
        <v>13</v>
      </c>
    </row>
    <row r="12" customFormat="false" ht="30" hidden="false" customHeight="true" outlineLevel="0" collapsed="false">
      <c r="B12" s="7" t="s">
        <v>14</v>
      </c>
      <c r="C12" s="8" t="s">
        <v>15</v>
      </c>
    </row>
    <row r="13" customFormat="false" ht="30" hidden="false" customHeight="true" outlineLevel="0" collapsed="false">
      <c r="B13" s="5" t="s">
        <v>16</v>
      </c>
      <c r="C13" s="6" t="s">
        <v>17</v>
      </c>
    </row>
    <row r="14" customFormat="false" ht="30" hidden="false" customHeight="true" outlineLevel="0" collapsed="false">
      <c r="B14" s="7" t="s">
        <v>18</v>
      </c>
      <c r="C14" s="8" t="s">
        <v>19</v>
      </c>
    </row>
    <row r="15" customFormat="false" ht="30" hidden="false" customHeight="true" outlineLevel="0" collapsed="false">
      <c r="B15" s="5" t="s">
        <v>20</v>
      </c>
      <c r="C15" s="6" t="s">
        <v>21</v>
      </c>
    </row>
    <row r="16" customFormat="false" ht="30" hidden="false" customHeight="true" outlineLevel="0" collapsed="false">
      <c r="B16" s="7" t="s">
        <v>22</v>
      </c>
      <c r="C16" s="8" t="s">
        <v>23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30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 t="s">
        <v>24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9" t="s">
        <v>25</v>
      </c>
      <c r="C3" s="9"/>
      <c r="D3" s="9"/>
      <c r="E3" s="9"/>
      <c r="F3" s="9"/>
      <c r="G3" s="9"/>
      <c r="H3" s="9"/>
      <c r="I3" s="9"/>
      <c r="J3" s="9"/>
    </row>
    <row r="5" customFormat="false" ht="19.5" hidden="false" customHeight="true" outlineLevel="0" collapsed="false">
      <c r="B5" s="10" t="s">
        <v>26</v>
      </c>
      <c r="C5" s="10" t="s">
        <v>27</v>
      </c>
      <c r="D5" s="10" t="s">
        <v>28</v>
      </c>
      <c r="E5" s="10" t="s">
        <v>29</v>
      </c>
      <c r="F5" s="10" t="s">
        <v>30</v>
      </c>
    </row>
    <row r="6" customFormat="false" ht="15" hidden="false" customHeight="true" outlineLevel="0" collapsed="false">
      <c r="B6" s="11" t="s">
        <v>31</v>
      </c>
      <c r="C6" s="12" t="s">
        <v>32</v>
      </c>
      <c r="D6" s="13" t="n">
        <v>12000</v>
      </c>
      <c r="E6" s="11" t="s">
        <v>33</v>
      </c>
      <c r="F6" s="12" t="s">
        <v>34</v>
      </c>
    </row>
    <row r="7" customFormat="false" ht="15" hidden="false" customHeight="true" outlineLevel="0" collapsed="false">
      <c r="B7" s="14" t="s">
        <v>35</v>
      </c>
      <c r="C7" s="15" t="s">
        <v>36</v>
      </c>
      <c r="D7" s="16" t="n">
        <v>4500</v>
      </c>
      <c r="E7" s="14" t="s">
        <v>33</v>
      </c>
      <c r="F7" s="15" t="s">
        <v>37</v>
      </c>
    </row>
    <row r="8" customFormat="false" ht="15" hidden="false" customHeight="true" outlineLevel="0" collapsed="false">
      <c r="B8" s="11" t="s">
        <v>38</v>
      </c>
      <c r="C8" s="12" t="s">
        <v>39</v>
      </c>
      <c r="D8" s="17" t="n">
        <v>0.85</v>
      </c>
      <c r="E8" s="11" t="s">
        <v>40</v>
      </c>
      <c r="F8" s="12" t="s">
        <v>41</v>
      </c>
    </row>
    <row r="9" customFormat="false" ht="15" hidden="false" customHeight="true" outlineLevel="0" collapsed="false">
      <c r="B9" s="14" t="s">
        <v>42</v>
      </c>
      <c r="C9" s="15" t="s">
        <v>43</v>
      </c>
      <c r="D9" s="18" t="n">
        <v>0.72</v>
      </c>
      <c r="E9" s="14" t="s">
        <v>40</v>
      </c>
      <c r="F9" s="15" t="s">
        <v>44</v>
      </c>
    </row>
    <row r="10" customFormat="false" ht="15" hidden="false" customHeight="true" outlineLevel="0" collapsed="false">
      <c r="B10" s="11" t="s">
        <v>45</v>
      </c>
      <c r="C10" s="12" t="s">
        <v>46</v>
      </c>
      <c r="D10" s="13" t="n">
        <v>2200</v>
      </c>
      <c r="E10" s="11" t="s">
        <v>33</v>
      </c>
      <c r="F10" s="12" t="s">
        <v>47</v>
      </c>
    </row>
    <row r="11" customFormat="false" ht="15" hidden="false" customHeight="true" outlineLevel="0" collapsed="false">
      <c r="B11" s="14" t="s">
        <v>48</v>
      </c>
      <c r="C11" s="15" t="s">
        <v>49</v>
      </c>
      <c r="D11" s="16" t="n">
        <v>3800</v>
      </c>
      <c r="E11" s="14" t="s">
        <v>33</v>
      </c>
      <c r="F11" s="15" t="s">
        <v>47</v>
      </c>
    </row>
    <row r="12" customFormat="false" ht="15" hidden="false" customHeight="true" outlineLevel="0" collapsed="false">
      <c r="B12" s="11" t="s">
        <v>50</v>
      </c>
      <c r="C12" s="12" t="s">
        <v>51</v>
      </c>
      <c r="D12" s="19" t="n">
        <v>3.5</v>
      </c>
      <c r="E12" s="11" t="s">
        <v>52</v>
      </c>
      <c r="F12" s="12" t="s">
        <v>53</v>
      </c>
    </row>
    <row r="13" customFormat="false" ht="15" hidden="false" customHeight="true" outlineLevel="0" collapsed="false">
      <c r="B13" s="14" t="s">
        <v>54</v>
      </c>
      <c r="C13" s="15" t="s">
        <v>55</v>
      </c>
      <c r="D13" s="16" t="n">
        <v>10</v>
      </c>
      <c r="E13" s="14" t="s">
        <v>56</v>
      </c>
      <c r="F13" s="15" t="s">
        <v>57</v>
      </c>
    </row>
    <row r="16" customFormat="false" ht="7.5" hidden="false" customHeight="true" outlineLevel="0" collapsed="false"/>
    <row r="17" customFormat="false" ht="21.75" hidden="false" customHeight="true" outlineLevel="0" collapsed="false">
      <c r="B17" s="20" t="s">
        <v>58</v>
      </c>
      <c r="C17" s="20"/>
      <c r="D17" s="20"/>
      <c r="E17" s="20"/>
      <c r="F17" s="20"/>
      <c r="G17" s="20"/>
      <c r="H17" s="20"/>
      <c r="I17" s="20"/>
      <c r="J17" s="20"/>
    </row>
    <row r="18" customFormat="false" ht="15" hidden="false" customHeight="true" outlineLevel="0" collapsed="false">
      <c r="B18" s="21" t="s">
        <v>59</v>
      </c>
      <c r="C18" s="21" t="s">
        <v>60</v>
      </c>
      <c r="D18" s="21" t="s">
        <v>29</v>
      </c>
      <c r="E18" s="21"/>
    </row>
    <row r="19" customFormat="false" ht="15" hidden="false" customHeight="true" outlineLevel="0" collapsed="false">
      <c r="B19" s="7" t="s">
        <v>61</v>
      </c>
      <c r="C19" s="13" t="n">
        <f aca="false">(D6+D10)-(D7+D11)</f>
        <v>5900</v>
      </c>
      <c r="D19" s="11" t="s">
        <v>62</v>
      </c>
    </row>
    <row r="20" customFormat="false" ht="15" hidden="false" customHeight="true" outlineLevel="0" collapsed="false">
      <c r="B20" s="5" t="s">
        <v>63</v>
      </c>
      <c r="C20" s="22" t="n">
        <f aca="false">D8-D9</f>
        <v>0.13</v>
      </c>
      <c r="D20" s="14" t="s">
        <v>40</v>
      </c>
    </row>
    <row r="21" customFormat="false" ht="15" hidden="false" customHeight="true" outlineLevel="0" collapsed="false">
      <c r="B21" s="7" t="s">
        <v>64</v>
      </c>
      <c r="C21" s="23" t="n">
        <f aca="false">C19/C20</f>
        <v>45384.6153846154</v>
      </c>
      <c r="D21" s="24" t="s">
        <v>65</v>
      </c>
    </row>
  </sheetData>
  <mergeCells count="3">
    <mergeCell ref="B2:J2"/>
    <mergeCell ref="B3:J3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6" min="4" style="1" width="14"/>
    <col collapsed="false" customWidth="true" hidden="false" outlineLevel="0" max="9" min="7" style="1" width="20"/>
    <col collapsed="false" customWidth="true" hidden="false" outlineLevel="0" max="13" min="10" style="1" width="14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9" t="s">
        <v>67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36" hidden="false" customHeight="true" outlineLevel="0" collapsed="false">
      <c r="B5" s="25" t="s">
        <v>26</v>
      </c>
      <c r="C5" s="25" t="s">
        <v>27</v>
      </c>
      <c r="D5" s="25" t="s">
        <v>68</v>
      </c>
      <c r="E5" s="25" t="s">
        <v>69</v>
      </c>
      <c r="F5" s="25" t="s">
        <v>70</v>
      </c>
      <c r="G5" s="25" t="s">
        <v>71</v>
      </c>
      <c r="H5" s="25" t="s">
        <v>72</v>
      </c>
      <c r="I5" s="25" t="s">
        <v>73</v>
      </c>
      <c r="J5" s="25" t="s">
        <v>74</v>
      </c>
      <c r="K5" s="25" t="s">
        <v>75</v>
      </c>
      <c r="L5" s="25" t="s">
        <v>76</v>
      </c>
      <c r="M5" s="25" t="s">
        <v>77</v>
      </c>
    </row>
    <row r="6" customFormat="false" ht="15" hidden="false" customHeight="true" outlineLevel="0" collapsed="false">
      <c r="B6" s="11" t="s">
        <v>31</v>
      </c>
      <c r="C6" s="12" t="s">
        <v>32</v>
      </c>
      <c r="D6" s="13" t="n">
        <v>12000</v>
      </c>
      <c r="E6" s="13" t="n">
        <v>9600</v>
      </c>
      <c r="F6" s="13" t="n">
        <v>14400</v>
      </c>
      <c r="G6" s="13" t="n">
        <v>45385</v>
      </c>
      <c r="H6" s="13" t="n">
        <v>27692</v>
      </c>
      <c r="I6" s="13" t="n">
        <v>63077</v>
      </c>
      <c r="J6" s="26" t="n">
        <f aca="false">H6-G6</f>
        <v>-17693</v>
      </c>
      <c r="K6" s="26" t="n">
        <f aca="false">I6-G6</f>
        <v>17692</v>
      </c>
      <c r="L6" s="27" t="n">
        <f aca="false">ABS(I6-H6)</f>
        <v>35385</v>
      </c>
      <c r="M6" s="28" t="n">
        <f aca="false">RANK(L6,$L$6:$L$13,0)</f>
        <v>2</v>
      </c>
    </row>
    <row r="7" customFormat="false" ht="15" hidden="false" customHeight="true" outlineLevel="0" collapsed="false">
      <c r="B7" s="14" t="s">
        <v>35</v>
      </c>
      <c r="C7" s="15" t="s">
        <v>78</v>
      </c>
      <c r="D7" s="16" t="n">
        <v>4500</v>
      </c>
      <c r="E7" s="16" t="n">
        <v>3600</v>
      </c>
      <c r="F7" s="16" t="n">
        <v>5400</v>
      </c>
      <c r="G7" s="16" t="n">
        <v>45385</v>
      </c>
      <c r="H7" s="16" t="n">
        <v>52231</v>
      </c>
      <c r="I7" s="16" t="n">
        <v>38539</v>
      </c>
      <c r="J7" s="29" t="n">
        <f aca="false">H7-G7</f>
        <v>6846</v>
      </c>
      <c r="K7" s="29" t="n">
        <f aca="false">I7-G7</f>
        <v>-6846</v>
      </c>
      <c r="L7" s="30" t="n">
        <f aca="false">ABS(I7-H7)</f>
        <v>13692</v>
      </c>
      <c r="M7" s="28" t="n">
        <f aca="false">RANK(L7,$L$6:$L$13,0)</f>
        <v>4</v>
      </c>
    </row>
    <row r="8" customFormat="false" ht="15" hidden="false" customHeight="true" outlineLevel="0" collapsed="false">
      <c r="B8" s="11" t="s">
        <v>38</v>
      </c>
      <c r="C8" s="12" t="s">
        <v>79</v>
      </c>
      <c r="D8" s="31" t="n">
        <v>0.85</v>
      </c>
      <c r="E8" s="31" t="n">
        <v>0.68</v>
      </c>
      <c r="F8" s="31" t="n">
        <v>1.02</v>
      </c>
      <c r="G8" s="13" t="n">
        <v>45385</v>
      </c>
      <c r="H8" s="13" t="n">
        <v>72222</v>
      </c>
      <c r="I8" s="13" t="n">
        <v>33618</v>
      </c>
      <c r="J8" s="26" t="n">
        <f aca="false">H8-G8</f>
        <v>26837</v>
      </c>
      <c r="K8" s="26" t="n">
        <f aca="false">I8-G8</f>
        <v>-11767</v>
      </c>
      <c r="L8" s="27" t="n">
        <f aca="false">ABS(I8-H8)</f>
        <v>38604</v>
      </c>
      <c r="M8" s="28" t="n">
        <f aca="false">RANK(L8,$L$6:$L$13,0)</f>
        <v>1</v>
      </c>
    </row>
    <row r="9" customFormat="false" ht="15" hidden="false" customHeight="true" outlineLevel="0" collapsed="false">
      <c r="B9" s="14" t="s">
        <v>42</v>
      </c>
      <c r="C9" s="15" t="s">
        <v>43</v>
      </c>
      <c r="D9" s="22" t="n">
        <v>0.72</v>
      </c>
      <c r="E9" s="22" t="n">
        <v>0.576</v>
      </c>
      <c r="F9" s="22" t="n">
        <v>0.864</v>
      </c>
      <c r="G9" s="16" t="n">
        <v>45385</v>
      </c>
      <c r="H9" s="16" t="n">
        <v>33618</v>
      </c>
      <c r="I9" s="16" t="n">
        <v>64835</v>
      </c>
      <c r="J9" s="29" t="n">
        <f aca="false">H9-G9</f>
        <v>-11767</v>
      </c>
      <c r="K9" s="29" t="n">
        <f aca="false">I9-G9</f>
        <v>19450</v>
      </c>
      <c r="L9" s="30" t="n">
        <f aca="false">ABS(I9-H9)</f>
        <v>31217</v>
      </c>
      <c r="M9" s="28" t="n">
        <f aca="false">RANK(L9,$L$6:$L$13,0)</f>
        <v>3</v>
      </c>
    </row>
    <row r="10" customFormat="false" ht="15" hidden="false" customHeight="true" outlineLevel="0" collapsed="false">
      <c r="B10" s="11" t="s">
        <v>45</v>
      </c>
      <c r="C10" s="12" t="s">
        <v>46</v>
      </c>
      <c r="D10" s="13" t="n">
        <v>2200</v>
      </c>
      <c r="E10" s="13" t="n">
        <v>1760</v>
      </c>
      <c r="F10" s="13" t="n">
        <v>2640</v>
      </c>
      <c r="G10" s="13" t="n">
        <v>45385</v>
      </c>
      <c r="H10" s="13" t="n">
        <v>39077</v>
      </c>
      <c r="I10" s="13" t="n">
        <v>51692</v>
      </c>
      <c r="J10" s="26" t="n">
        <f aca="false">H10-G10</f>
        <v>-6308</v>
      </c>
      <c r="K10" s="26" t="n">
        <f aca="false">I10-G10</f>
        <v>6307</v>
      </c>
      <c r="L10" s="27" t="n">
        <f aca="false">ABS(I10-H10)</f>
        <v>12615</v>
      </c>
      <c r="M10" s="28" t="n">
        <f aca="false">RANK(L10,$L$6:$L$13,0)</f>
        <v>5</v>
      </c>
    </row>
    <row r="11" customFormat="false" ht="15" hidden="false" customHeight="true" outlineLevel="0" collapsed="false">
      <c r="B11" s="14" t="s">
        <v>48</v>
      </c>
      <c r="C11" s="15" t="s">
        <v>49</v>
      </c>
      <c r="D11" s="16" t="n">
        <v>3800</v>
      </c>
      <c r="E11" s="16" t="n">
        <v>3040</v>
      </c>
      <c r="F11" s="16" t="n">
        <v>4560</v>
      </c>
      <c r="G11" s="16" t="n">
        <v>45385</v>
      </c>
      <c r="H11" s="16" t="n">
        <v>51231</v>
      </c>
      <c r="I11" s="16" t="n">
        <v>39538</v>
      </c>
      <c r="J11" s="29" t="n">
        <f aca="false">H11-G11</f>
        <v>5846</v>
      </c>
      <c r="K11" s="29" t="n">
        <f aca="false">I11-G11</f>
        <v>-5847</v>
      </c>
      <c r="L11" s="30" t="n">
        <f aca="false">ABS(I11-H11)</f>
        <v>11693</v>
      </c>
      <c r="M11" s="28" t="n">
        <f aca="false">RANK(L11,$L$6:$L$13,0)</f>
        <v>6</v>
      </c>
    </row>
    <row r="12" customFormat="false" ht="15" hidden="false" customHeight="true" outlineLevel="0" collapsed="false">
      <c r="B12" s="11" t="s">
        <v>50</v>
      </c>
      <c r="C12" s="12" t="s">
        <v>51</v>
      </c>
      <c r="D12" s="13" t="n">
        <v>3.5</v>
      </c>
      <c r="E12" s="13" t="n">
        <v>2.8</v>
      </c>
      <c r="F12" s="13" t="n">
        <v>4.2</v>
      </c>
      <c r="G12" s="13" t="n">
        <v>45385</v>
      </c>
      <c r="H12" s="13" t="n">
        <v>42110</v>
      </c>
      <c r="I12" s="13" t="n">
        <v>48660</v>
      </c>
      <c r="J12" s="26" t="n">
        <f aca="false">H12-G12</f>
        <v>-3275</v>
      </c>
      <c r="K12" s="26" t="n">
        <f aca="false">I12-G12</f>
        <v>3275</v>
      </c>
      <c r="L12" s="27" t="n">
        <f aca="false">ABS(I12-H12)</f>
        <v>6550</v>
      </c>
      <c r="M12" s="28" t="n">
        <f aca="false">RANK(L12,$L$6:$L$13,0)</f>
        <v>8</v>
      </c>
    </row>
    <row r="13" customFormat="false" ht="15" hidden="false" customHeight="true" outlineLevel="0" collapsed="false">
      <c r="B13" s="14" t="s">
        <v>54</v>
      </c>
      <c r="C13" s="15" t="s">
        <v>55</v>
      </c>
      <c r="D13" s="16" t="n">
        <v>10</v>
      </c>
      <c r="E13" s="16" t="n">
        <v>8</v>
      </c>
      <c r="F13" s="16" t="n">
        <v>12</v>
      </c>
      <c r="G13" s="16" t="n">
        <v>45385</v>
      </c>
      <c r="H13" s="16" t="n">
        <v>49231</v>
      </c>
      <c r="I13" s="16" t="n">
        <v>42000</v>
      </c>
      <c r="J13" s="29" t="n">
        <f aca="false">H13-G13</f>
        <v>3846</v>
      </c>
      <c r="K13" s="29" t="n">
        <f aca="false">I13-G13</f>
        <v>-3385</v>
      </c>
      <c r="L13" s="30" t="n">
        <f aca="false">ABS(I13-H13)</f>
        <v>7231</v>
      </c>
      <c r="M13" s="28" t="n">
        <f aca="false">RANK(L13,$L$6:$L$13,0)</f>
        <v>7</v>
      </c>
    </row>
    <row r="15" customFormat="false" ht="7.5" hidden="false" customHeight="true" outlineLevel="0" collapsed="false"/>
    <row r="16" customFormat="false" ht="15" hidden="false" customHeight="true" outlineLevel="0" collapsed="false">
      <c r="B16" s="32" t="s">
        <v>80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</sheetData>
  <mergeCells count="3">
    <mergeCell ref="B2:M2"/>
    <mergeCell ref="B3:M3"/>
    <mergeCell ref="B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8" min="7" style="1" width="24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 t="s">
        <v>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B3" s="9" t="s">
        <v>82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customFormat="false" ht="36" hidden="false" customHeight="true" outlineLevel="0" collapsed="false">
      <c r="B5" s="25" t="s">
        <v>83</v>
      </c>
      <c r="C5" s="25" t="s">
        <v>84</v>
      </c>
      <c r="D5" s="25" t="s">
        <v>85</v>
      </c>
      <c r="E5" s="25" t="s">
        <v>71</v>
      </c>
      <c r="F5" s="25" t="s">
        <v>86</v>
      </c>
      <c r="G5" s="25" t="s">
        <v>87</v>
      </c>
      <c r="H5" s="25" t="s">
        <v>88</v>
      </c>
    </row>
    <row r="6" customFormat="false" ht="15" hidden="false" customHeight="true" outlineLevel="0" collapsed="false">
      <c r="B6" s="28" t="n">
        <v>1</v>
      </c>
      <c r="C6" s="12" t="s">
        <v>79</v>
      </c>
      <c r="D6" s="13" t="n">
        <v>72222</v>
      </c>
      <c r="E6" s="13" t="n">
        <v>45385</v>
      </c>
      <c r="F6" s="13" t="n">
        <v>33618</v>
      </c>
      <c r="G6" s="33" t="n">
        <f aca="false">D6-E6</f>
        <v>26837</v>
      </c>
      <c r="H6" s="34" t="n">
        <f aca="false">F6-E6</f>
        <v>-11767</v>
      </c>
    </row>
    <row r="7" customFormat="false" ht="15" hidden="false" customHeight="true" outlineLevel="0" collapsed="false">
      <c r="B7" s="28" t="n">
        <v>2</v>
      </c>
      <c r="C7" s="15" t="s">
        <v>89</v>
      </c>
      <c r="D7" s="16" t="n">
        <v>33618</v>
      </c>
      <c r="E7" s="16" t="n">
        <v>45385</v>
      </c>
      <c r="F7" s="16" t="n">
        <v>64835</v>
      </c>
      <c r="G7" s="35" t="n">
        <f aca="false">D7-E7</f>
        <v>-11767</v>
      </c>
      <c r="H7" s="36" t="n">
        <f aca="false">F7-E7</f>
        <v>19450</v>
      </c>
    </row>
    <row r="8" customFormat="false" ht="15" hidden="false" customHeight="true" outlineLevel="0" collapsed="false">
      <c r="B8" s="28" t="n">
        <v>3</v>
      </c>
      <c r="C8" s="12" t="s">
        <v>32</v>
      </c>
      <c r="D8" s="13" t="n">
        <v>27692</v>
      </c>
      <c r="E8" s="13" t="n">
        <v>45385</v>
      </c>
      <c r="F8" s="13" t="n">
        <v>63077</v>
      </c>
      <c r="G8" s="33" t="n">
        <f aca="false">D8-E8</f>
        <v>-17693</v>
      </c>
      <c r="H8" s="34" t="n">
        <f aca="false">F8-E8</f>
        <v>17692</v>
      </c>
    </row>
    <row r="9" customFormat="false" ht="15" hidden="false" customHeight="true" outlineLevel="0" collapsed="false">
      <c r="B9" s="28" t="n">
        <v>4</v>
      </c>
      <c r="C9" s="15" t="s">
        <v>78</v>
      </c>
      <c r="D9" s="16" t="n">
        <v>52231</v>
      </c>
      <c r="E9" s="16" t="n">
        <v>45385</v>
      </c>
      <c r="F9" s="16" t="n">
        <v>38539</v>
      </c>
      <c r="G9" s="35" t="n">
        <f aca="false">D9-E9</f>
        <v>6846</v>
      </c>
      <c r="H9" s="36" t="n">
        <f aca="false">F9-E9</f>
        <v>-6846</v>
      </c>
    </row>
    <row r="10" customFormat="false" ht="15" hidden="false" customHeight="true" outlineLevel="0" collapsed="false">
      <c r="B10" s="28" t="n">
        <v>5</v>
      </c>
      <c r="C10" s="12" t="s">
        <v>49</v>
      </c>
      <c r="D10" s="13" t="n">
        <v>51231</v>
      </c>
      <c r="E10" s="13" t="n">
        <v>45385</v>
      </c>
      <c r="F10" s="13" t="n">
        <v>39538</v>
      </c>
      <c r="G10" s="33" t="n">
        <f aca="false">D10-E10</f>
        <v>5846</v>
      </c>
      <c r="H10" s="34" t="n">
        <f aca="false">F10-E10</f>
        <v>-5847</v>
      </c>
    </row>
    <row r="11" customFormat="false" ht="15" hidden="false" customHeight="true" outlineLevel="0" collapsed="false">
      <c r="B11" s="28" t="n">
        <v>6</v>
      </c>
      <c r="C11" s="15" t="s">
        <v>46</v>
      </c>
      <c r="D11" s="16" t="n">
        <v>39077</v>
      </c>
      <c r="E11" s="16" t="n">
        <v>45385</v>
      </c>
      <c r="F11" s="16" t="n">
        <v>51692</v>
      </c>
      <c r="G11" s="35" t="n">
        <f aca="false">D11-E11</f>
        <v>-6308</v>
      </c>
      <c r="H11" s="36" t="n">
        <f aca="false">F11-E11</f>
        <v>6307</v>
      </c>
    </row>
    <row r="12" customFormat="false" ht="15" hidden="false" customHeight="true" outlineLevel="0" collapsed="false">
      <c r="B12" s="28" t="n">
        <v>7</v>
      </c>
      <c r="C12" s="12" t="s">
        <v>55</v>
      </c>
      <c r="D12" s="13" t="n">
        <v>49231</v>
      </c>
      <c r="E12" s="13" t="n">
        <v>45385</v>
      </c>
      <c r="F12" s="13" t="n">
        <v>42000</v>
      </c>
      <c r="G12" s="33" t="n">
        <f aca="false">D12-E12</f>
        <v>3846</v>
      </c>
      <c r="H12" s="34" t="n">
        <f aca="false">F12-E12</f>
        <v>-3385</v>
      </c>
    </row>
    <row r="13" customFormat="false" ht="15" hidden="false" customHeight="true" outlineLevel="0" collapsed="false">
      <c r="B13" s="28" t="n">
        <v>8</v>
      </c>
      <c r="C13" s="15" t="s">
        <v>51</v>
      </c>
      <c r="D13" s="16" t="n">
        <v>42110</v>
      </c>
      <c r="E13" s="16" t="n">
        <v>45385</v>
      </c>
      <c r="F13" s="16" t="n">
        <v>48660</v>
      </c>
      <c r="G13" s="35" t="n">
        <f aca="false">D13-E13</f>
        <v>-3275</v>
      </c>
      <c r="H13" s="36" t="n">
        <f aca="false">F13-E13</f>
        <v>3275</v>
      </c>
    </row>
    <row r="15" customFormat="false" ht="7.5" hidden="false" customHeight="true" outlineLevel="0" collapsed="false"/>
    <row r="16" customFormat="false" ht="15" hidden="false" customHeight="true" outlineLevel="0" collapsed="false">
      <c r="B16" s="37" t="s">
        <v>90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</sheetData>
  <mergeCells count="3">
    <mergeCell ref="B2:N2"/>
    <mergeCell ref="B3:N3"/>
    <mergeCell ref="B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8"/>
    <col collapsed="false" customWidth="true" hidden="false" outlineLevel="0" max="4" min="4" style="1" width="45"/>
    <col collapsed="false" customWidth="true" hidden="false" outlineLevel="0" max="5" min="5" style="1" width="30"/>
    <col collapsed="false" customWidth="true" hidden="false" outlineLevel="0" max="6" min="6" style="1" width="12"/>
    <col collapsed="false" customWidth="true" hidden="false" outlineLevel="0" max="7" min="7" style="1" width="2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2" t="s">
        <v>91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0" t="s">
        <v>92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97</v>
      </c>
    </row>
    <row r="5" customFormat="false" ht="15" hidden="false" customHeight="true" outlineLevel="0" collapsed="false">
      <c r="B5" s="38" t="s">
        <v>98</v>
      </c>
      <c r="C5" s="11" t="s">
        <v>99</v>
      </c>
      <c r="D5" s="12" t="s">
        <v>100</v>
      </c>
      <c r="E5" s="12" t="s">
        <v>101</v>
      </c>
      <c r="F5" s="39" t="s">
        <v>102</v>
      </c>
      <c r="G5" s="40"/>
    </row>
    <row r="6" customFormat="false" ht="15" hidden="false" customHeight="true" outlineLevel="0" collapsed="false">
      <c r="B6" s="41" t="s">
        <v>103</v>
      </c>
      <c r="C6" s="14" t="s">
        <v>99</v>
      </c>
      <c r="D6" s="15" t="s">
        <v>104</v>
      </c>
      <c r="E6" s="15" t="s">
        <v>105</v>
      </c>
      <c r="F6" s="39" t="s">
        <v>102</v>
      </c>
      <c r="G6" s="40"/>
    </row>
    <row r="7" customFormat="false" ht="15" hidden="false" customHeight="true" outlineLevel="0" collapsed="false">
      <c r="B7" s="38" t="s">
        <v>106</v>
      </c>
      <c r="C7" s="11" t="s">
        <v>99</v>
      </c>
      <c r="D7" s="12" t="s">
        <v>107</v>
      </c>
      <c r="E7" s="12" t="s">
        <v>108</v>
      </c>
      <c r="F7" s="39" t="s">
        <v>102</v>
      </c>
      <c r="G7" s="40"/>
    </row>
    <row r="8" customFormat="false" ht="15" hidden="false" customHeight="true" outlineLevel="0" collapsed="false">
      <c r="B8" s="41" t="s">
        <v>109</v>
      </c>
      <c r="C8" s="14" t="s">
        <v>110</v>
      </c>
      <c r="D8" s="15" t="s">
        <v>111</v>
      </c>
      <c r="E8" s="15" t="s">
        <v>112</v>
      </c>
      <c r="F8" s="39" t="s">
        <v>102</v>
      </c>
      <c r="G8" s="40"/>
    </row>
    <row r="9" customFormat="false" ht="15" hidden="false" customHeight="true" outlineLevel="0" collapsed="false">
      <c r="B9" s="38" t="s">
        <v>113</v>
      </c>
      <c r="C9" s="11" t="s">
        <v>110</v>
      </c>
      <c r="D9" s="12" t="s">
        <v>114</v>
      </c>
      <c r="E9" s="12" t="s">
        <v>115</v>
      </c>
      <c r="F9" s="39" t="s">
        <v>102</v>
      </c>
      <c r="G9" s="40"/>
    </row>
    <row r="10" customFormat="false" ht="15" hidden="false" customHeight="true" outlineLevel="0" collapsed="false">
      <c r="B10" s="41" t="s">
        <v>116</v>
      </c>
      <c r="C10" s="14" t="s">
        <v>110</v>
      </c>
      <c r="D10" s="15" t="s">
        <v>117</v>
      </c>
      <c r="E10" s="15" t="s">
        <v>118</v>
      </c>
      <c r="F10" s="39" t="s">
        <v>102</v>
      </c>
      <c r="G10" s="40"/>
    </row>
    <row r="11" customFormat="false" ht="15" hidden="false" customHeight="true" outlineLevel="0" collapsed="false">
      <c r="B11" s="38" t="s">
        <v>119</v>
      </c>
      <c r="C11" s="11" t="s">
        <v>120</v>
      </c>
      <c r="D11" s="12" t="s">
        <v>121</v>
      </c>
      <c r="E11" s="12" t="s">
        <v>122</v>
      </c>
      <c r="F11" s="39" t="s">
        <v>102</v>
      </c>
      <c r="G11" s="40"/>
    </row>
    <row r="12" customFormat="false" ht="15" hidden="false" customHeight="true" outlineLevel="0" collapsed="false">
      <c r="B12" s="41" t="s">
        <v>123</v>
      </c>
      <c r="C12" s="14" t="s">
        <v>120</v>
      </c>
      <c r="D12" s="15" t="s">
        <v>124</v>
      </c>
      <c r="E12" s="15" t="s">
        <v>125</v>
      </c>
      <c r="F12" s="39" t="s">
        <v>102</v>
      </c>
      <c r="G12" s="40"/>
    </row>
    <row r="13" customFormat="false" ht="15" hidden="false" customHeight="true" outlineLevel="0" collapsed="false">
      <c r="B13" s="38" t="s">
        <v>126</v>
      </c>
      <c r="C13" s="11" t="s">
        <v>120</v>
      </c>
      <c r="D13" s="12" t="s">
        <v>127</v>
      </c>
      <c r="E13" s="12" t="s">
        <v>128</v>
      </c>
      <c r="F13" s="39" t="s">
        <v>102</v>
      </c>
      <c r="G13" s="40"/>
    </row>
    <row r="14" customFormat="false" ht="15" hidden="false" customHeight="true" outlineLevel="0" collapsed="false">
      <c r="B14" s="41" t="s">
        <v>129</v>
      </c>
      <c r="C14" s="14" t="s">
        <v>120</v>
      </c>
      <c r="D14" s="15" t="s">
        <v>130</v>
      </c>
      <c r="E14" s="15" t="s">
        <v>131</v>
      </c>
      <c r="F14" s="39" t="s">
        <v>102</v>
      </c>
      <c r="G14" s="40"/>
    </row>
    <row r="15" customFormat="false" ht="15" hidden="false" customHeight="true" outlineLevel="0" collapsed="false">
      <c r="B15" s="38" t="s">
        <v>132</v>
      </c>
      <c r="C15" s="11" t="s">
        <v>133</v>
      </c>
      <c r="D15" s="12" t="s">
        <v>134</v>
      </c>
      <c r="E15" s="12" t="s">
        <v>135</v>
      </c>
      <c r="F15" s="39" t="s">
        <v>102</v>
      </c>
      <c r="G15" s="40"/>
    </row>
    <row r="16" customFormat="false" ht="15" hidden="false" customHeight="true" outlineLevel="0" collapsed="false">
      <c r="B16" s="41" t="s">
        <v>136</v>
      </c>
      <c r="C16" s="14" t="s">
        <v>133</v>
      </c>
      <c r="D16" s="15" t="s">
        <v>137</v>
      </c>
      <c r="E16" s="15" t="s">
        <v>138</v>
      </c>
      <c r="F16" s="39" t="s">
        <v>102</v>
      </c>
      <c r="G16" s="40"/>
    </row>
    <row r="17" customFormat="false" ht="15" hidden="false" customHeight="true" outlineLevel="0" collapsed="false">
      <c r="B17" s="38" t="s">
        <v>139</v>
      </c>
      <c r="C17" s="11" t="s">
        <v>140</v>
      </c>
      <c r="D17" s="12" t="s">
        <v>141</v>
      </c>
      <c r="E17" s="12" t="s">
        <v>142</v>
      </c>
      <c r="F17" s="39" t="s">
        <v>102</v>
      </c>
      <c r="G17" s="40"/>
    </row>
    <row r="18" customFormat="false" ht="15" hidden="false" customHeight="true" outlineLevel="0" collapsed="false">
      <c r="B18" s="41" t="s">
        <v>143</v>
      </c>
      <c r="C18" s="14" t="s">
        <v>140</v>
      </c>
      <c r="D18" s="15" t="s">
        <v>144</v>
      </c>
      <c r="E18" s="15" t="s">
        <v>145</v>
      </c>
      <c r="F18" s="39" t="s">
        <v>102</v>
      </c>
      <c r="G18" s="40"/>
    </row>
    <row r="19" customFormat="false" ht="15" hidden="false" customHeight="true" outlineLevel="0" collapsed="false">
      <c r="B19" s="38" t="s">
        <v>146</v>
      </c>
      <c r="C19" s="11" t="s">
        <v>147</v>
      </c>
      <c r="D19" s="12" t="s">
        <v>148</v>
      </c>
      <c r="E19" s="12" t="s">
        <v>149</v>
      </c>
      <c r="F19" s="39" t="s">
        <v>102</v>
      </c>
      <c r="G19" s="40"/>
    </row>
    <row r="20" customFormat="false" ht="15" hidden="false" customHeight="true" outlineLevel="0" collapsed="false">
      <c r="B20" s="41" t="s">
        <v>150</v>
      </c>
      <c r="C20" s="14" t="s">
        <v>147</v>
      </c>
      <c r="D20" s="15" t="s">
        <v>151</v>
      </c>
      <c r="E20" s="15" t="s">
        <v>152</v>
      </c>
      <c r="F20" s="39" t="s">
        <v>102</v>
      </c>
      <c r="G20" s="40"/>
    </row>
    <row r="21" customFormat="false" ht="15" hidden="false" customHeight="true" outlineLevel="0" collapsed="false">
      <c r="B21" s="38" t="s">
        <v>153</v>
      </c>
      <c r="C21" s="11" t="s">
        <v>147</v>
      </c>
      <c r="D21" s="12" t="s">
        <v>154</v>
      </c>
      <c r="E21" s="12" t="s">
        <v>155</v>
      </c>
      <c r="F21" s="39" t="s">
        <v>102</v>
      </c>
      <c r="G21" s="40"/>
    </row>
    <row r="23" customFormat="false" ht="7.5" hidden="false" customHeight="true" outlineLevel="0" collapsed="false"/>
    <row r="24" customFormat="false" ht="30" hidden="false" customHeight="true" outlineLevel="0" collapsed="false">
      <c r="B24" s="42" t="s">
        <v>156</v>
      </c>
      <c r="C24" s="42"/>
      <c r="D24" s="42"/>
      <c r="E24" s="42"/>
      <c r="F24" s="42"/>
      <c r="G24" s="42"/>
      <c r="H24" s="42"/>
      <c r="I24" s="42"/>
      <c r="J24" s="42"/>
    </row>
  </sheetData>
  <mergeCells count="2">
    <mergeCell ref="B2:J2"/>
    <mergeCell ref="B24:J24"/>
  </mergeCells>
  <dataValidations count="1">
    <dataValidation allowBlank="true" errorStyle="stop" operator="between" showDropDown="false" showErrorMessage="false" showInputMessage="false" sqref="F5:F21" type="list">
      <formula1>"☐ Da fare,✓ Completato,⚠ Parziale,✗ Non applic"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2026-06-27T06:33:35Z</dcterms:created>
  <dc:creator>openpyxl</dc:creator>
  <dc:description/>
  <dc:language>en-US</dc:language>
  <cp:lastModifiedBy/>
  <dcterms:modified xsi:type="dcterms:W3CDTF">2026-06-27T06:34:29Z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