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metri" sheetId="1" state="visible" r:id="rId3"/>
    <sheet name="Calcolo_ICER" sheetId="2" state="visible" r:id="rId4"/>
    <sheet name="Tornado_Diagram" sheetId="3" state="visible" r:id="rId5"/>
    <sheet name="Checklist_Validazion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<sst xmlns="http://schemas.openxmlformats.org/spreadsheetml/2006/main" count="226" uniqueCount="139">
  <si>
    <t xml:space="preserve">PARAMETRI DEL MODELLO — Definizione Range per Analisi di Sensibilità</t>
  </si>
  <si>
    <t xml:space="preserve">Parametro</t>
  </si>
  <si>
    <t xml:space="preserve">Valore Base</t>
  </si>
  <si>
    <t xml:space="preserve">Limite Inferiore (−20%)</t>
  </si>
  <si>
    <t xml:space="preserve">Limite Superiore (+20%)</t>
  </si>
  <si>
    <t xml:space="preserve">Fonte / Giustificazione</t>
  </si>
  <si>
    <t xml:space="preserve">Note</t>
  </si>
  <si>
    <t xml:space="preserve">Costo per ciclo — Nuovo Farmaco (€)</t>
  </si>
  <si>
    <t xml:space="preserve">Listino ufficiale SSN 2024</t>
  </si>
  <si>
    <t xml:space="preserve">+/-20% standard; considerare range asimmetrico se skewed</t>
  </si>
  <si>
    <t xml:space="preserve">Costo per ciclo — Standard of Care (€)</t>
  </si>
  <si>
    <t xml:space="preserve">Tariffa DRG regionale</t>
  </si>
  <si>
    <t xml:space="preserve">Sensibile a variazioni regionali; testare ±30%</t>
  </si>
  <si>
    <t xml:space="preserve">Efficacia relativa — Nuovo Farmaco (QALY)</t>
  </si>
  <si>
    <t xml:space="preserve">RCT pivotale (n=850)</t>
  </si>
  <si>
    <t xml:space="preserve">Parametro critico — range da IC95% del trial</t>
  </si>
  <si>
    <t xml:space="preserve">Efficacia relativa — Standard of Care (QALY)</t>
  </si>
  <si>
    <t xml:space="preserve">Meta-analisi Cochrane 2023</t>
  </si>
  <si>
    <t xml:space="preserve">Da IC95% meta-analisi</t>
  </si>
  <si>
    <t xml:space="preserve">Tasso di sconto — Costi (%)</t>
  </si>
  <si>
    <t xml:space="preserve">Linee guida HTA Italia</t>
  </si>
  <si>
    <t xml:space="preserve">Range guideline: 0–5%</t>
  </si>
  <si>
    <t xml:space="preserve">Tasso di sconto — Outcome (%)</t>
  </si>
  <si>
    <t xml:space="preserve">Spesso correlato al tasso costi</t>
  </si>
  <si>
    <t xml:space="preserve">Durata del trattamento (anni)</t>
  </si>
  <si>
    <t xml:space="preserve">Protocollo clinico</t>
  </si>
  <si>
    <t xml:space="preserve">Analisi scenario: 2–5 anni</t>
  </si>
  <si>
    <t xml:space="preserve">Probabilità di risposta — Nuovo Farm. (%)</t>
  </si>
  <si>
    <t xml:space="preserve">RCT pivotale</t>
  </si>
  <si>
    <t xml:space="preserve">Da IC95% RCT</t>
  </si>
  <si>
    <t xml:space="preserve">Probabilità di risposta — SoC (%)</t>
  </si>
  <si>
    <t xml:space="preserve">Registro nazionale</t>
  </si>
  <si>
    <t xml:space="preserve">Da IC95% registro</t>
  </si>
  <si>
    <t xml:space="preserve">Utilità — Stato risposta completa</t>
  </si>
  <si>
    <t xml:space="preserve">Studio EQ-5D italiano</t>
  </si>
  <si>
    <t xml:space="preserve">Da SD studio EQ-5D</t>
  </si>
  <si>
    <t xml:space="preserve">Utilità — Stato risposta parziale</t>
  </si>
  <si>
    <t xml:space="preserve">Costo eventi avversi gravi — Nuovo Farm. (€)</t>
  </si>
  <si>
    <t xml:space="preserve">DRG ospedalizzazione</t>
  </si>
  <si>
    <t xml:space="preserve">Range da tariffe min-max regionali</t>
  </si>
  <si>
    <t xml:space="preserve">Probabilità AE Grade 3-4 — Nuovo Farm. (%)</t>
  </si>
  <si>
    <t xml:space="preserve">Safety data RCT</t>
  </si>
  <si>
    <t xml:space="preserve">Da IC95% trial</t>
  </si>
  <si>
    <t xml:space="preserve">NOTA: Il range ±20% è la convenzione standard HTA. Per parametri con IC95% disponibili, usare l'IC95% del trial/meta-analisi. Per parametri con alta incertezza (utility, sconto), considerare range più ampi (±50%) o analisi di scenario.</t>
  </si>
  <si>
    <t xml:space="preserve">CALCOLO ICER — Analisi One-Way e Struttura per Tornado Diagram</t>
  </si>
  <si>
    <t xml:space="preserve">A. CALCOLO ICER BASELINE</t>
  </si>
  <si>
    <t xml:space="preserve">ΔCosti totali — Nuovo Farm. vs. SoC (€)</t>
  </si>
  <si>
    <t xml:space="preserve">ΔEfficacia (QALY guadagnati)</t>
  </si>
  <si>
    <t xml:space="preserve">ICER Baseline (€/QALY)</t>
  </si>
  <si>
    <t xml:space="preserve">Soglia di Willingness-to-Pay (WTP) — €/QALY</t>
  </si>
  <si>
    <t xml:space="preserve">B. ANALISI DI SENSIBILITÀ ONE-WAY (fonte dati per Tornado Diagram)</t>
  </si>
  <si>
    <t xml:space="preserve">Parametro Variato</t>
  </si>
  <si>
    <t xml:space="preserve">ICER Basso
(param al limite inf.)</t>
  </si>
  <si>
    <t xml:space="preserve">ICER Alto
(param al limite sup.)</t>
  </si>
  <si>
    <t xml:space="preserve">Swing ICER
(|Alto−Basso|)</t>
  </si>
  <si>
    <t xml:space="preserve">% Variazione vs Baseline</t>
  </si>
  <si>
    <t xml:space="preserve">Efficacia relativa — SoC (QALY)</t>
  </si>
  <si>
    <t xml:space="preserve">Costo per ciclo — SoC (€)</t>
  </si>
  <si>
    <t xml:space="preserve">Probabilità risposta — Nuovo Farm. (%)</t>
  </si>
  <si>
    <t xml:space="preserve">Costo eventi avversi gravi (€)</t>
  </si>
  <si>
    <t xml:space="preserve">Probabilità AE Grade 3-4 (%)</t>
  </si>
  <si>
    <t xml:space="preserve">Probabilità risposta — SoC (%)</t>
  </si>
  <si>
    <t xml:space="preserve">MASSIMO SWING (variabile più critica)</t>
  </si>
  <si>
    <t xml:space="preserve">TORNADO DIAGRAM — Dati Ordinati per Impatto sull'ICER</t>
  </si>
  <si>
    <t xml:space="preserve">Logica: ogni barra rappresenta lo swing dell'ICER. Il colore teal indica il range basso (param. al limite inf.), il colore rust indica il range alto (param. al limite sup.). Le variabili sono ordinate per swing decrescente (variabili più critiche in cima).</t>
  </si>
  <si>
    <t xml:space="preserve">Parametro (ordinato per impatto)</t>
  </si>
  <si>
    <t xml:space="preserve">ICER — Limite Inf.
(param basso)</t>
  </si>
  <si>
    <t xml:space="preserve">ICER — Limite Sup.
(param alto)</t>
  </si>
  <si>
    <t xml:space="preserve">Baseline ICER</t>
  </si>
  <si>
    <t xml:space="preserve">Swing Assoluto
(|Alto−Basso|)</t>
  </si>
  <si>
    <t xml:space="preserve">Rank</t>
  </si>
  <si>
    <t xml:space="preserve">WTP THRESHOLD: € 50.000/QALY — Interpretazione: se tutti i range ICER rimangono &lt; WTP, il risultato è robusto alla sensibilità. Se uno o più range attraversano la soglia WTP, quella variabile è critica per la decisione.</t>
  </si>
  <si>
    <t xml:space="preserve">CHECKLIST — Validazione dell'Analisi di Sensibilità e del Tornado Diagram</t>
  </si>
  <si>
    <t xml:space="preserve">1. COMPLETEZZA DEI PARAMETRI</t>
  </si>
  <si>
    <t xml:space="preserve">✓</t>
  </si>
  <si>
    <t xml:space="preserve">Descrizione</t>
  </si>
  <si>
    <t xml:space="preserve">Priorità</t>
  </si>
  <si>
    <t xml:space="preserve">Note/Azione</t>
  </si>
  <si>
    <t xml:space="preserve">☐</t>
  </si>
  <si>
    <t xml:space="preserve">Tutti i parametri del modello (costi, utilità, probabilità, tassi) sono inclusi nell'analisi</t>
  </si>
  <si>
    <t xml:space="preserve">Critico</t>
  </si>
  <si>
    <t xml:space="preserve">Se omesso, il tornado è incompleto</t>
  </si>
  <si>
    <t xml:space="preserve">Il numero di parametri testati è ≥ 10 (sufficiente per identificare i driver chiave)</t>
  </si>
  <si>
    <t xml:space="preserve">Raccomandato</t>
  </si>
  <si>
    <t xml:space="preserve">Linee guida EUnetHTA/NICE</t>
  </si>
  <si>
    <t xml:space="preserve">I parametri strutturali (durata, orizzonte temporale) sono inclusi come scenari</t>
  </si>
  <si>
    <t xml:space="preserve">Aggiungere foglio 'Analisi Scenario'</t>
  </si>
  <si>
    <t xml:space="preserve">Sono inclusi i parametri relativi all'eterogeneità di popolazione</t>
  </si>
  <si>
    <t xml:space="preserve">Opzionale</t>
  </si>
  <si>
    <t xml:space="preserve">Rilevante per sub-group analysis</t>
  </si>
  <si>
    <t xml:space="preserve">2. DEFINIZIONE DEI RANGE</t>
  </si>
  <si>
    <t xml:space="preserve">I range sono giustificati da IC95% dei trial/meta-analisi quando disponibili</t>
  </si>
  <si>
    <t xml:space="preserve">Non usare ±20% se IC95% disponibile</t>
  </si>
  <si>
    <t xml:space="preserve">La scelta ±20% è documentata e giustificata per ogni parametro senza IC95%</t>
  </si>
  <si>
    <t xml:space="preserve">Documentare nel foglio Parametri</t>
  </si>
  <si>
    <t xml:space="preserve">I range rispettano i vincoli biologici/logici (es. probabilità tra 0 e 1)</t>
  </si>
  <si>
    <t xml:space="preserve">Prob. non può superare 100%</t>
  </si>
  <si>
    <t xml:space="preserve">I range asimmetrici (es. dati skewed) sono stati considerati</t>
  </si>
  <si>
    <t xml:space="preserve">Utile per parametri log-normali</t>
  </si>
  <si>
    <t xml:space="preserve">Il range del tasso di sconto copre 0%-5% (standard internazionale)</t>
  </si>
  <si>
    <t xml:space="preserve">EUnetHTA Core Model</t>
  </si>
  <si>
    <t xml:space="preserve">3. CALCOLO E ORDINAMENTO</t>
  </si>
  <si>
    <t xml:space="preserve">Il calcolo ICER per ogni combinazione parametro/limite è stato verificato</t>
  </si>
  <si>
    <t xml:space="preserve">Spot-check manuale su 3+ parametri</t>
  </si>
  <si>
    <t xml:space="preserve">L'ordinamento è per swing assoluto (|ICER_alto − ICER_basso|), non per valore relativo</t>
  </si>
  <si>
    <t xml:space="preserve">Errore metodologico comune</t>
  </si>
  <si>
    <t xml:space="preserve">Il baseline ICER è indicato chiaramente come linea di riferimento verticale</t>
  </si>
  <si>
    <t xml:space="preserve">Asse x del tornado</t>
  </si>
  <si>
    <t xml:space="preserve">Le variabili sono ordinate dalla più impattante (in cima) alla meno impattante (in fondo)</t>
  </si>
  <si>
    <t xml:space="preserve">Convenzionale in HTA</t>
  </si>
  <si>
    <t xml:space="preserve">Il 'top 5' delle variabili più critiche è evidenziato o commentato</t>
  </si>
  <si>
    <t xml:space="preserve">Facilita la lettura del decisore</t>
  </si>
  <si>
    <t xml:space="preserve">4. VISUALIZZAZIONE</t>
  </si>
  <si>
    <t xml:space="preserve">Il colore distingue le barre 'basso' da quelle 'alto' (palette accessibile)</t>
  </si>
  <si>
    <t xml:space="preserve">Evitare rosso/verde (daltonismo)</t>
  </si>
  <si>
    <t xml:space="preserve">La linea del baseline ICER è visibile e chiaramente etichettata</t>
  </si>
  <si>
    <t xml:space="preserve">Linea verticale sull'asse centrale</t>
  </si>
  <si>
    <t xml:space="preserve">La soglia WTP è indicata nel grafico (linea tratteggiata)</t>
  </si>
  <si>
    <t xml:space="preserve">Facilita interpretazione decisionale</t>
  </si>
  <si>
    <t xml:space="preserve">I label dei parametri sull'asse Y sono leggibili (font ≥ 9pt, no troncatura)</t>
  </si>
  <si>
    <t xml:space="preserve">Ridimensionare il grafico se necessario</t>
  </si>
  <si>
    <t xml:space="preserve">Il titolo del grafico indica l'esito (es. 'Analisi sensibilità ICER — € per QALY')</t>
  </si>
  <si>
    <t xml:space="preserve">Best practice HTA</t>
  </si>
  <si>
    <t xml:space="preserve">La legenda identifica la direzione delle barre (incremento/decremento param.)</t>
  </si>
  <si>
    <t xml:space="preserve">Senza legenda il grafico è ambiguo</t>
  </si>
  <si>
    <t xml:space="preserve">5. INTERPRETAZIONE E REPORTISTICA</t>
  </si>
  <si>
    <t xml:space="preserve">Sono state identificate le variabili che attraversano la soglia WTP</t>
  </si>
  <si>
    <t xml:space="preserve">Driver della decisione</t>
  </si>
  <si>
    <t xml:space="preserve">Il testo del report discute i parametri con swing &gt; 10% del baseline ICER</t>
  </si>
  <si>
    <t xml:space="preserve">Soglia di rilevanza pratica</t>
  </si>
  <si>
    <t xml:space="preserve">Si distingue tra incertezza parametrica e incertezza strutturale</t>
  </si>
  <si>
    <t xml:space="preserve">Solo parametrica → one-way; strutturale → scenario</t>
  </si>
  <si>
    <t xml:space="preserve">Sono indicate le implicazioni per la raccolta dati futura</t>
  </si>
  <si>
    <t xml:space="preserve">Value of Information (VOI)</t>
  </si>
  <si>
    <t xml:space="preserve">Il tornado è coerente con i risultati della PSA (se disponibile)</t>
  </si>
  <si>
    <t xml:space="preserve">Inconsistenze segnalano errori di modello</t>
  </si>
  <si>
    <t xml:space="preserve">La metodologia è descritta con sufficiente dettaglio per la riproducibilità</t>
  </si>
  <si>
    <t xml:space="preserve">Standard ISPOR/EUnetHTA</t>
  </si>
  <si>
    <t xml:space="preserve">LEGENDA PRIORITÀ: 🟡 Critico = deve essere soddisfatto per la validità del modello | 🔵 Raccomandato = best practice HTA | Opzionale = aggiunge valore in contesti specifici</t>
  </si>
</sst>
</file>

<file path=xl/styles.xml><?xml version="1.0" encoding="utf-8"?>
<styleSheet xmlns="http://schemas.openxmlformats.org/spreadsheetml/2006/main">
  <numFmts count="5">
    <numFmt numFmtId="164" formatCode="General"/>
    <numFmt numFmtId="165" formatCode="#,##0.00"/>
    <numFmt numFmtId="166" formatCode="0.0%"/>
    <numFmt numFmtId="167" formatCode="#,##0.000"/>
    <numFmt numFmtId="168" formatCode="#,##0"/>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Calibri"/>
      <family val="0"/>
      <charset val="1"/>
    </font>
    <font>
      <b val="true"/>
      <sz val="11"/>
      <color rgb="FFFFFFFF"/>
      <name val="Calibri"/>
      <family val="0"/>
      <charset val="1"/>
    </font>
    <font>
      <sz val="10"/>
      <color rgb="FF28251D"/>
      <name val="Calibri"/>
      <family val="0"/>
      <charset val="1"/>
    </font>
    <font>
      <sz val="10"/>
      <name val="Calibri"/>
      <family val="0"/>
      <charset val="1"/>
    </font>
    <font>
      <i val="true"/>
      <sz val="9"/>
      <color rgb="FF7A7974"/>
      <name val="Calibri"/>
      <family val="0"/>
      <charset val="1"/>
    </font>
    <font>
      <b val="true"/>
      <sz val="10"/>
      <name val="Calibri"/>
      <family val="0"/>
      <charset val="1"/>
    </font>
    <font>
      <b val="true"/>
      <sz val="10"/>
      <color rgb="FFFFFFFF"/>
      <name val="Calibri"/>
      <family val="0"/>
      <charset val="1"/>
    </font>
    <font>
      <sz val="10"/>
      <color rgb="FF1B474D"/>
      <name val="Calibri"/>
      <family val="0"/>
      <charset val="1"/>
    </font>
    <font>
      <sz val="10"/>
      <color rgb="FFA84B2F"/>
      <name val="Calibri"/>
      <family val="0"/>
      <charset val="1"/>
    </font>
    <font>
      <b val="true"/>
      <sz val="10"/>
      <color rgb="FF28251D"/>
      <name val="Calibri"/>
      <family val="0"/>
      <charset val="1"/>
    </font>
    <font>
      <b val="true"/>
      <sz val="10"/>
      <color rgb="FF1B474D"/>
      <name val="Calibri"/>
      <family val="0"/>
      <charset val="1"/>
    </font>
    <font>
      <b val="true"/>
      <sz val="10"/>
      <color rgb="FFA84B2F"/>
      <name val="Calibri"/>
      <family val="0"/>
      <charset val="1"/>
    </font>
    <font>
      <b val="true"/>
      <sz val="9"/>
      <color rgb="FFA84B2F"/>
      <name val="Calibri"/>
      <family val="0"/>
      <charset val="1"/>
    </font>
    <font>
      <sz val="12"/>
      <name val="Calibri"/>
      <family val="0"/>
      <charset val="1"/>
    </font>
    <font>
      <b val="true"/>
      <sz val="9"/>
      <name val="Calibri"/>
      <family val="0"/>
      <charset val="1"/>
    </font>
    <font>
      <i val="true"/>
      <sz val="9"/>
      <color rgb="FF28251D"/>
      <name val="Calibri"/>
      <family val="0"/>
      <charset val="1"/>
    </font>
  </fonts>
  <fills count="11">
    <fill>
      <patternFill patternType="none"/>
    </fill>
    <fill>
      <patternFill patternType="gray125"/>
    </fill>
    <fill>
      <patternFill patternType="solid">
        <fgColor rgb="FF1B474D"/>
        <bgColor rgb="FF404040"/>
      </patternFill>
    </fill>
    <fill>
      <patternFill patternType="solid">
        <fgColor rgb="FF20808D"/>
        <bgColor rgb="FF008080"/>
      </patternFill>
    </fill>
    <fill>
      <patternFill patternType="solid">
        <fgColor rgb="FFF9F8F5"/>
        <bgColor rgb="FFF7F6F2"/>
      </patternFill>
    </fill>
    <fill>
      <patternFill patternType="solid">
        <fgColor rgb="FF404040"/>
        <bgColor rgb="FF1B474D"/>
      </patternFill>
    </fill>
    <fill>
      <patternFill patternType="solid">
        <fgColor rgb="FFA84B2F"/>
        <bgColor rgb="FF993366"/>
      </patternFill>
    </fill>
    <fill>
      <patternFill patternType="solid">
        <fgColor rgb="FFBCE2E7"/>
        <bgColor rgb="FFD4D1CA"/>
      </patternFill>
    </fill>
    <fill>
      <patternFill patternType="solid">
        <fgColor rgb="FFFFF3F0"/>
        <bgColor rgb="FFF7F6F2"/>
      </patternFill>
    </fill>
    <fill>
      <patternFill patternType="solid">
        <fgColor rgb="FFFFC553"/>
        <bgColor rgb="FFFFCC00"/>
      </patternFill>
    </fill>
    <fill>
      <patternFill patternType="solid">
        <fgColor rgb="FFF7F6F2"/>
        <bgColor rgb="FFF9F8F5"/>
      </patternFill>
    </fill>
  </fills>
  <borders count="3">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 diagonalUp="false" diagonalDown="false">
      <left style="thin">
        <color rgb="FFD4D1CA"/>
      </left>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5" fillId="6"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8" fontId="11" fillId="4" borderId="1" xfId="0" applyFont="true" applyBorder="true" applyAlignment="true" applyProtection="false">
      <alignment horizontal="center" vertical="bottom" textRotation="0" wrapText="false" indent="0" shrinkToFit="false"/>
      <protection locked="true" hidden="false"/>
    </xf>
    <xf numFmtId="168" fontId="12" fillId="4" borderId="1" xfId="0" applyFont="true" applyBorder="true" applyAlignment="true" applyProtection="false">
      <alignment horizontal="center" vertical="bottom" textRotation="0" wrapText="false" indent="0" shrinkToFit="false"/>
      <protection locked="true" hidden="false"/>
    </xf>
    <xf numFmtId="168" fontId="9" fillId="4" borderId="1" xfId="0" applyFont="true" applyBorder="true" applyAlignment="true" applyProtection="false">
      <alignment horizontal="center" vertical="bottom" textRotation="0" wrapText="false" indent="0" shrinkToFit="false"/>
      <protection locked="true" hidden="false"/>
    </xf>
    <xf numFmtId="168" fontId="11" fillId="0"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8" fontId="9" fillId="7"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8" fontId="14" fillId="4" borderId="1" xfId="0" applyFont="true" applyBorder="true" applyAlignment="true" applyProtection="false">
      <alignment horizontal="center" vertical="bottom" textRotation="0" wrapText="false" indent="0" shrinkToFit="false"/>
      <protection locked="true" hidden="false"/>
    </xf>
    <xf numFmtId="168" fontId="15" fillId="4" borderId="1" xfId="0" applyFont="true" applyBorder="true" applyAlignment="true" applyProtection="false">
      <alignment horizontal="center" vertical="bottom" textRotation="0" wrapText="false" indent="0" shrinkToFit="false"/>
      <protection locked="true" hidden="false"/>
    </xf>
    <xf numFmtId="168" fontId="7" fillId="4" borderId="1" xfId="0" applyFont="true" applyBorder="true" applyAlignment="true" applyProtection="false">
      <alignment horizontal="center" vertical="bottom" textRotation="0" wrapText="false" indent="0" shrinkToFit="false"/>
      <protection locked="true" hidden="false"/>
    </xf>
    <xf numFmtId="168" fontId="14" fillId="0" borderId="1" xfId="0" applyFont="true" applyBorder="true" applyAlignment="true" applyProtection="false">
      <alignment horizontal="center" vertical="bottom" textRotation="0" wrapText="false" indent="0" shrinkToFit="false"/>
      <protection locked="true" hidden="false"/>
    </xf>
    <xf numFmtId="168" fontId="15"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16" fillId="8" borderId="2"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9" fillId="1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D4D1CA"/>
      <rgbColor rgb="FF7A7974"/>
      <rgbColor rgb="FF9999FF"/>
      <rgbColor rgb="FF993366"/>
      <rgbColor rgb="FFF9F8F5"/>
      <rgbColor rgb="FFF7F6F2"/>
      <rgbColor rgb="FF660066"/>
      <rgbColor rgb="FFFF8080"/>
      <rgbColor rgb="FF0066CC"/>
      <rgbColor rgb="FFBCE2E7"/>
      <rgbColor rgb="FF000080"/>
      <rgbColor rgb="FFFF00FF"/>
      <rgbColor rgb="FFFFFF00"/>
      <rgbColor rgb="FF00FFFF"/>
      <rgbColor rgb="FF800080"/>
      <rgbColor rgb="FF800000"/>
      <rgbColor rgb="FF008080"/>
      <rgbColor rgb="FF0000FF"/>
      <rgbColor rgb="FF00CCFF"/>
      <rgbColor rgb="FFFFF3F0"/>
      <rgbColor rgb="FFCCFFCC"/>
      <rgbColor rgb="FFFFFF99"/>
      <rgbColor rgb="FF99CCFF"/>
      <rgbColor rgb="FFFF99CC"/>
      <rgbColor rgb="FFCC99FF"/>
      <rgbColor rgb="FFFFC553"/>
      <rgbColor rgb="FF3366FF"/>
      <rgbColor rgb="FF33CCCC"/>
      <rgbColor rgb="FF99CC00"/>
      <rgbColor rgb="FFFFCC00"/>
      <rgbColor rgb="FFFF9900"/>
      <rgbColor rgb="FFFF6600"/>
      <rgbColor rgb="FF666699"/>
      <rgbColor rgb="FF969696"/>
      <rgbColor rgb="FF1B474D"/>
      <rgbColor rgb="FF339966"/>
      <rgbColor rgb="FF003300"/>
      <rgbColor rgb="FF28251D"/>
      <rgbColor rgb="FFA84B2F"/>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6" min="3" style="0" width="16"/>
    <col collapsed="false" customWidth="true" hidden="false" outlineLevel="0" max="7" min="7" style="0" width="22"/>
  </cols>
  <sheetData>
    <row r="1" customFormat="false" ht="7.5" hidden="false" customHeight="true" outlineLevel="0" collapsed="false"/>
    <row r="2" customFormat="false" ht="30" hidden="false" customHeight="true" outlineLevel="0" collapsed="false">
      <c r="B2" s="1" t="s">
        <v>0</v>
      </c>
      <c r="C2" s="1"/>
      <c r="D2" s="1"/>
      <c r="E2" s="1"/>
      <c r="F2" s="1"/>
      <c r="G2" s="1"/>
    </row>
    <row r="3" customFormat="false" ht="36" hidden="false" customHeight="true" outlineLevel="0" collapsed="false">
      <c r="B3" s="2" t="s">
        <v>1</v>
      </c>
      <c r="C3" s="2" t="s">
        <v>2</v>
      </c>
      <c r="D3" s="2" t="s">
        <v>3</v>
      </c>
      <c r="E3" s="2" t="s">
        <v>4</v>
      </c>
      <c r="F3" s="2" t="s">
        <v>5</v>
      </c>
      <c r="G3" s="2" t="s">
        <v>6</v>
      </c>
    </row>
    <row r="4" customFormat="false" ht="19.5" hidden="false" customHeight="true" outlineLevel="0" collapsed="false">
      <c r="B4" s="3" t="s">
        <v>7</v>
      </c>
      <c r="C4" s="4" t="n">
        <v>4500</v>
      </c>
      <c r="D4" s="5" t="n">
        <f aca="false">C4*(1-0.2)</f>
        <v>3600</v>
      </c>
      <c r="E4" s="5" t="n">
        <f aca="false">C4*(1+0.2)</f>
        <v>5400</v>
      </c>
      <c r="F4" s="3" t="s">
        <v>8</v>
      </c>
      <c r="G4" s="3" t="s">
        <v>9</v>
      </c>
    </row>
    <row r="5" customFormat="false" ht="19.5" hidden="false" customHeight="true" outlineLevel="0" collapsed="false">
      <c r="B5" s="6" t="s">
        <v>10</v>
      </c>
      <c r="C5" s="7" t="n">
        <v>1200</v>
      </c>
      <c r="D5" s="8" t="n">
        <f aca="false">C5*(1-0.2)</f>
        <v>960</v>
      </c>
      <c r="E5" s="8" t="n">
        <f aca="false">C5*(1+0.2)</f>
        <v>1440</v>
      </c>
      <c r="F5" s="6" t="s">
        <v>11</v>
      </c>
      <c r="G5" s="6" t="s">
        <v>12</v>
      </c>
    </row>
    <row r="6" customFormat="false" ht="19.5" hidden="false" customHeight="true" outlineLevel="0" collapsed="false">
      <c r="B6" s="3" t="s">
        <v>13</v>
      </c>
      <c r="C6" s="4" t="n">
        <v>0.72</v>
      </c>
      <c r="D6" s="5" t="n">
        <f aca="false">C6*(1-0.2)</f>
        <v>0.576</v>
      </c>
      <c r="E6" s="5" t="n">
        <f aca="false">C6*(1+0.2)</f>
        <v>0.864</v>
      </c>
      <c r="F6" s="3" t="s">
        <v>14</v>
      </c>
      <c r="G6" s="3" t="s">
        <v>15</v>
      </c>
    </row>
    <row r="7" customFormat="false" ht="19.5" hidden="false" customHeight="true" outlineLevel="0" collapsed="false">
      <c r="B7" s="6" t="s">
        <v>16</v>
      </c>
      <c r="C7" s="7" t="n">
        <v>0.58</v>
      </c>
      <c r="D7" s="8" t="n">
        <f aca="false">C7*(1-0.2)</f>
        <v>0.464</v>
      </c>
      <c r="E7" s="8" t="n">
        <f aca="false">C7*(1+0.2)</f>
        <v>0.696</v>
      </c>
      <c r="F7" s="6" t="s">
        <v>17</v>
      </c>
      <c r="G7" s="6" t="s">
        <v>18</v>
      </c>
    </row>
    <row r="8" customFormat="false" ht="19.5" hidden="false" customHeight="true" outlineLevel="0" collapsed="false">
      <c r="B8" s="3" t="s">
        <v>19</v>
      </c>
      <c r="C8" s="9" t="n">
        <v>0.035</v>
      </c>
      <c r="D8" s="10" t="n">
        <f aca="false">C8*(1-0.2)</f>
        <v>0.028</v>
      </c>
      <c r="E8" s="10" t="n">
        <f aca="false">C8*(1+0.2)</f>
        <v>0.042</v>
      </c>
      <c r="F8" s="3" t="s">
        <v>20</v>
      </c>
      <c r="G8" s="3" t="s">
        <v>21</v>
      </c>
    </row>
    <row r="9" customFormat="false" ht="19.5" hidden="false" customHeight="true" outlineLevel="0" collapsed="false">
      <c r="B9" s="6" t="s">
        <v>22</v>
      </c>
      <c r="C9" s="11" t="n">
        <v>0.035</v>
      </c>
      <c r="D9" s="12" t="n">
        <f aca="false">C9*(1-0.2)</f>
        <v>0.028</v>
      </c>
      <c r="E9" s="12" t="n">
        <f aca="false">C9*(1+0.2)</f>
        <v>0.042</v>
      </c>
      <c r="F9" s="6" t="s">
        <v>20</v>
      </c>
      <c r="G9" s="6" t="s">
        <v>23</v>
      </c>
    </row>
    <row r="10" customFormat="false" ht="19.5" hidden="false" customHeight="true" outlineLevel="0" collapsed="false">
      <c r="B10" s="3" t="s">
        <v>24</v>
      </c>
      <c r="C10" s="4" t="n">
        <v>3</v>
      </c>
      <c r="D10" s="5" t="n">
        <f aca="false">C10*(1-0.2)</f>
        <v>2.4</v>
      </c>
      <c r="E10" s="5" t="n">
        <f aca="false">C10*(1+0.2)</f>
        <v>3.6</v>
      </c>
      <c r="F10" s="3" t="s">
        <v>25</v>
      </c>
      <c r="G10" s="3" t="s">
        <v>26</v>
      </c>
    </row>
    <row r="11" customFormat="false" ht="19.5" hidden="false" customHeight="true" outlineLevel="0" collapsed="false">
      <c r="B11" s="6" t="s">
        <v>27</v>
      </c>
      <c r="C11" s="11" t="n">
        <v>0.68</v>
      </c>
      <c r="D11" s="12" t="n">
        <f aca="false">C11*(1-0.2)</f>
        <v>0.544</v>
      </c>
      <c r="E11" s="12" t="n">
        <f aca="false">C11*(1+0.2)</f>
        <v>0.816</v>
      </c>
      <c r="F11" s="6" t="s">
        <v>28</v>
      </c>
      <c r="G11" s="6" t="s">
        <v>29</v>
      </c>
    </row>
    <row r="12" customFormat="false" ht="19.5" hidden="false" customHeight="true" outlineLevel="0" collapsed="false">
      <c r="B12" s="3" t="s">
        <v>30</v>
      </c>
      <c r="C12" s="9" t="n">
        <v>0.47</v>
      </c>
      <c r="D12" s="10" t="n">
        <f aca="false">C12*(1-0.2)</f>
        <v>0.376</v>
      </c>
      <c r="E12" s="10" t="n">
        <f aca="false">C12*(1+0.2)</f>
        <v>0.564</v>
      </c>
      <c r="F12" s="3" t="s">
        <v>31</v>
      </c>
      <c r="G12" s="3" t="s">
        <v>32</v>
      </c>
    </row>
    <row r="13" customFormat="false" ht="19.5" hidden="false" customHeight="true" outlineLevel="0" collapsed="false">
      <c r="B13" s="6" t="s">
        <v>33</v>
      </c>
      <c r="C13" s="7" t="n">
        <v>0.85</v>
      </c>
      <c r="D13" s="8" t="n">
        <f aca="false">C13*(1-0.2)</f>
        <v>0.68</v>
      </c>
      <c r="E13" s="8" t="n">
        <f aca="false">C13*(1+0.2)</f>
        <v>1.02</v>
      </c>
      <c r="F13" s="6" t="s">
        <v>34</v>
      </c>
      <c r="G13" s="6" t="s">
        <v>35</v>
      </c>
    </row>
    <row r="14" customFormat="false" ht="19.5" hidden="false" customHeight="true" outlineLevel="0" collapsed="false">
      <c r="B14" s="3" t="s">
        <v>36</v>
      </c>
      <c r="C14" s="4" t="n">
        <v>0.62</v>
      </c>
      <c r="D14" s="5" t="n">
        <f aca="false">C14*(1-0.2)</f>
        <v>0.496</v>
      </c>
      <c r="E14" s="5" t="n">
        <f aca="false">C14*(1+0.2)</f>
        <v>0.744</v>
      </c>
      <c r="F14" s="3" t="s">
        <v>34</v>
      </c>
      <c r="G14" s="3" t="s">
        <v>35</v>
      </c>
    </row>
    <row r="15" customFormat="false" ht="19.5" hidden="false" customHeight="true" outlineLevel="0" collapsed="false">
      <c r="B15" s="6" t="s">
        <v>37</v>
      </c>
      <c r="C15" s="7" t="n">
        <v>1800</v>
      </c>
      <c r="D15" s="8" t="n">
        <f aca="false">C15*(1-0.2)</f>
        <v>1440</v>
      </c>
      <c r="E15" s="8" t="n">
        <f aca="false">C15*(1+0.2)</f>
        <v>2160</v>
      </c>
      <c r="F15" s="6" t="s">
        <v>38</v>
      </c>
      <c r="G15" s="6" t="s">
        <v>39</v>
      </c>
    </row>
    <row r="16" customFormat="false" ht="19.5" hidden="false" customHeight="true" outlineLevel="0" collapsed="false">
      <c r="B16" s="3" t="s">
        <v>40</v>
      </c>
      <c r="C16" s="9" t="n">
        <v>0.12</v>
      </c>
      <c r="D16" s="10" t="n">
        <f aca="false">C16*(1-0.2)</f>
        <v>0.096</v>
      </c>
      <c r="E16" s="10" t="n">
        <f aca="false">C16*(1+0.2)</f>
        <v>0.144</v>
      </c>
      <c r="F16" s="3" t="s">
        <v>41</v>
      </c>
      <c r="G16" s="3" t="s">
        <v>42</v>
      </c>
    </row>
    <row r="18" customFormat="false" ht="42" hidden="false" customHeight="true" outlineLevel="0" collapsed="false">
      <c r="B18" s="13" t="s">
        <v>43</v>
      </c>
      <c r="C18" s="13"/>
      <c r="D18" s="13"/>
      <c r="E18" s="13"/>
      <c r="F18" s="13"/>
      <c r="G18" s="13"/>
    </row>
  </sheetData>
  <mergeCells count="2">
    <mergeCell ref="B2:G2"/>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6" min="3" style="0" width="20"/>
  </cols>
  <sheetData>
    <row r="1" customFormat="false" ht="7.5" hidden="false" customHeight="true" outlineLevel="0" collapsed="false"/>
    <row r="2" customFormat="false" ht="30" hidden="false" customHeight="true" outlineLevel="0" collapsed="false">
      <c r="B2" s="1" t="s">
        <v>44</v>
      </c>
      <c r="C2" s="1"/>
      <c r="D2" s="1"/>
      <c r="E2" s="1"/>
      <c r="F2" s="1"/>
    </row>
    <row r="4" customFormat="false" ht="21.75" hidden="false" customHeight="true" outlineLevel="0" collapsed="false">
      <c r="B4" s="14" t="s">
        <v>45</v>
      </c>
      <c r="C4" s="14"/>
      <c r="D4" s="14"/>
      <c r="E4" s="14"/>
      <c r="F4" s="14"/>
    </row>
    <row r="5" customFormat="false" ht="19.5" hidden="false" customHeight="true" outlineLevel="0" collapsed="false">
      <c r="B5" s="15" t="s">
        <v>46</v>
      </c>
      <c r="C5" s="8" t="n">
        <v>9900</v>
      </c>
    </row>
    <row r="6" customFormat="false" ht="19.5" hidden="false" customHeight="true" outlineLevel="0" collapsed="false">
      <c r="B6" s="15" t="s">
        <v>47</v>
      </c>
      <c r="C6" s="16" t="n">
        <v>0.14</v>
      </c>
    </row>
    <row r="7" customFormat="false" ht="19.5" hidden="false" customHeight="true" outlineLevel="0" collapsed="false">
      <c r="B7" s="15" t="s">
        <v>48</v>
      </c>
      <c r="C7" s="17" t="n">
        <f aca="false">C5/C6</f>
        <v>70714.2857142857</v>
      </c>
    </row>
    <row r="8" customFormat="false" ht="19.5" hidden="false" customHeight="true" outlineLevel="0" collapsed="false">
      <c r="B8" s="15" t="s">
        <v>49</v>
      </c>
      <c r="C8" s="18" t="n">
        <v>50000</v>
      </c>
    </row>
    <row r="10" customFormat="false" ht="21.75" hidden="false" customHeight="true" outlineLevel="0" collapsed="false">
      <c r="B10" s="14" t="s">
        <v>50</v>
      </c>
      <c r="C10" s="14"/>
      <c r="D10" s="14"/>
      <c r="E10" s="14"/>
      <c r="F10" s="14"/>
    </row>
    <row r="11" customFormat="false" ht="39.75" hidden="false" customHeight="true" outlineLevel="0" collapsed="false">
      <c r="B11" s="19" t="s">
        <v>51</v>
      </c>
      <c r="C11" s="19" t="s">
        <v>52</v>
      </c>
      <c r="D11" s="19" t="s">
        <v>53</v>
      </c>
      <c r="E11" s="19" t="s">
        <v>54</v>
      </c>
      <c r="F11" s="19" t="s">
        <v>55</v>
      </c>
    </row>
    <row r="12" customFormat="false" ht="19.5" hidden="false" customHeight="true" outlineLevel="0" collapsed="false">
      <c r="B12" s="3" t="s">
        <v>13</v>
      </c>
      <c r="C12" s="20" t="n">
        <v>52143</v>
      </c>
      <c r="D12" s="21" t="n">
        <v>83571</v>
      </c>
      <c r="E12" s="22" t="n">
        <f aca="false">ABS(D12-C12)</f>
        <v>31428</v>
      </c>
      <c r="F12" s="10" t="n">
        <f aca="false">E12/$C$7</f>
        <v>0.444436363636364</v>
      </c>
    </row>
    <row r="13" customFormat="false" ht="19.5" hidden="false" customHeight="true" outlineLevel="0" collapsed="false">
      <c r="B13" s="6" t="s">
        <v>56</v>
      </c>
      <c r="C13" s="23" t="n">
        <v>65250</v>
      </c>
      <c r="D13" s="24" t="n">
        <v>82500</v>
      </c>
      <c r="E13" s="18" t="n">
        <f aca="false">ABS(D13-C13)</f>
        <v>17250</v>
      </c>
      <c r="F13" s="12" t="n">
        <f aca="false">E13/$C$7</f>
        <v>0.243939393939394</v>
      </c>
    </row>
    <row r="14" customFormat="false" ht="19.5" hidden="false" customHeight="true" outlineLevel="0" collapsed="false">
      <c r="B14" s="3" t="s">
        <v>7</v>
      </c>
      <c r="C14" s="20" t="n">
        <v>55286</v>
      </c>
      <c r="D14" s="21" t="n">
        <v>84714</v>
      </c>
      <c r="E14" s="22" t="n">
        <f aca="false">ABS(D14-C14)</f>
        <v>29428</v>
      </c>
      <c r="F14" s="10" t="n">
        <f aca="false">E14/$C$7</f>
        <v>0.416153535353535</v>
      </c>
    </row>
    <row r="15" customFormat="false" ht="19.5" hidden="false" customHeight="true" outlineLevel="0" collapsed="false">
      <c r="B15" s="6" t="s">
        <v>57</v>
      </c>
      <c r="C15" s="23" t="n">
        <v>63214</v>
      </c>
      <c r="D15" s="24" t="n">
        <v>77786</v>
      </c>
      <c r="E15" s="18" t="n">
        <f aca="false">ABS(D15-C15)</f>
        <v>14572</v>
      </c>
      <c r="F15" s="12" t="n">
        <f aca="false">E15/$C$7</f>
        <v>0.206068686868687</v>
      </c>
    </row>
    <row r="16" customFormat="false" ht="19.5" hidden="false" customHeight="true" outlineLevel="0" collapsed="false">
      <c r="B16" s="3" t="s">
        <v>33</v>
      </c>
      <c r="C16" s="20" t="n">
        <v>63000</v>
      </c>
      <c r="D16" s="21" t="n">
        <v>78750</v>
      </c>
      <c r="E16" s="22" t="n">
        <f aca="false">ABS(D16-C16)</f>
        <v>15750</v>
      </c>
      <c r="F16" s="10" t="n">
        <f aca="false">E16/$C$7</f>
        <v>0.222727272727273</v>
      </c>
    </row>
    <row r="17" customFormat="false" ht="19.5" hidden="false" customHeight="true" outlineLevel="0" collapsed="false">
      <c r="B17" s="6" t="s">
        <v>19</v>
      </c>
      <c r="C17" s="23" t="n">
        <v>66500</v>
      </c>
      <c r="D17" s="24" t="n">
        <v>74500</v>
      </c>
      <c r="E17" s="18" t="n">
        <f aca="false">ABS(D17-C17)</f>
        <v>8000</v>
      </c>
      <c r="F17" s="12" t="n">
        <f aca="false">E17/$C$7</f>
        <v>0.113131313131313</v>
      </c>
    </row>
    <row r="18" customFormat="false" ht="19.5" hidden="false" customHeight="true" outlineLevel="0" collapsed="false">
      <c r="B18" s="3" t="s">
        <v>58</v>
      </c>
      <c r="C18" s="20" t="n">
        <v>67200</v>
      </c>
      <c r="D18" s="21" t="n">
        <v>74100</v>
      </c>
      <c r="E18" s="22" t="n">
        <f aca="false">ABS(D18-C18)</f>
        <v>6900</v>
      </c>
      <c r="F18" s="10" t="n">
        <f aca="false">E18/$C$7</f>
        <v>0.0975757575757576</v>
      </c>
    </row>
    <row r="19" customFormat="false" ht="19.5" hidden="false" customHeight="true" outlineLevel="0" collapsed="false">
      <c r="B19" s="6" t="s">
        <v>24</v>
      </c>
      <c r="C19" s="23" t="n">
        <v>67800</v>
      </c>
      <c r="D19" s="24" t="n">
        <v>73500</v>
      </c>
      <c r="E19" s="18" t="n">
        <f aca="false">ABS(D19-C19)</f>
        <v>5700</v>
      </c>
      <c r="F19" s="12" t="n">
        <f aca="false">E19/$C$7</f>
        <v>0.0806060606060606</v>
      </c>
    </row>
    <row r="20" customFormat="false" ht="19.5" hidden="false" customHeight="true" outlineLevel="0" collapsed="false">
      <c r="B20" s="3" t="s">
        <v>59</v>
      </c>
      <c r="C20" s="20" t="n">
        <v>68400</v>
      </c>
      <c r="D20" s="21" t="n">
        <v>72600</v>
      </c>
      <c r="E20" s="22" t="n">
        <f aca="false">ABS(D20-C20)</f>
        <v>4200</v>
      </c>
      <c r="F20" s="10" t="n">
        <f aca="false">E20/$C$7</f>
        <v>0.0593939393939394</v>
      </c>
    </row>
    <row r="21" customFormat="false" ht="19.5" hidden="false" customHeight="true" outlineLevel="0" collapsed="false">
      <c r="B21" s="6" t="s">
        <v>60</v>
      </c>
      <c r="C21" s="23" t="n">
        <v>69100</v>
      </c>
      <c r="D21" s="24" t="n">
        <v>71900</v>
      </c>
      <c r="E21" s="18" t="n">
        <f aca="false">ABS(D21-C21)</f>
        <v>2800</v>
      </c>
      <c r="F21" s="12" t="n">
        <f aca="false">E21/$C$7</f>
        <v>0.0395959595959596</v>
      </c>
    </row>
    <row r="22" customFormat="false" ht="19.5" hidden="false" customHeight="true" outlineLevel="0" collapsed="false">
      <c r="B22" s="3" t="s">
        <v>22</v>
      </c>
      <c r="C22" s="20" t="n">
        <v>69500</v>
      </c>
      <c r="D22" s="21" t="n">
        <v>71500</v>
      </c>
      <c r="E22" s="22" t="n">
        <f aca="false">ABS(D22-C22)</f>
        <v>2000</v>
      </c>
      <c r="F22" s="10" t="n">
        <f aca="false">E22/$C$7</f>
        <v>0.0282828282828283</v>
      </c>
    </row>
    <row r="23" customFormat="false" ht="19.5" hidden="false" customHeight="true" outlineLevel="0" collapsed="false">
      <c r="B23" s="6" t="s">
        <v>61</v>
      </c>
      <c r="C23" s="23" t="n">
        <v>69800</v>
      </c>
      <c r="D23" s="24" t="n">
        <v>71200</v>
      </c>
      <c r="E23" s="18" t="n">
        <f aca="false">ABS(D23-C23)</f>
        <v>1400</v>
      </c>
      <c r="F23" s="12" t="n">
        <f aca="false">E23/$C$7</f>
        <v>0.0197979797979798</v>
      </c>
    </row>
    <row r="24" customFormat="false" ht="19.5" hidden="false" customHeight="true" outlineLevel="0" collapsed="false">
      <c r="B24" s="3" t="s">
        <v>36</v>
      </c>
      <c r="C24" s="20" t="n">
        <v>70100</v>
      </c>
      <c r="D24" s="21" t="n">
        <v>70900</v>
      </c>
      <c r="E24" s="22" t="n">
        <f aca="false">ABS(D24-C24)</f>
        <v>800</v>
      </c>
      <c r="F24" s="10" t="n">
        <f aca="false">E24/$C$7</f>
        <v>0.0113131313131313</v>
      </c>
    </row>
    <row r="25" customFormat="false" ht="19.5" hidden="false" customHeight="true" outlineLevel="0" collapsed="false">
      <c r="B25" s="25" t="s">
        <v>62</v>
      </c>
      <c r="E25" s="26" t="n">
        <f aca="false">MAX(E12:E24)</f>
        <v>31428</v>
      </c>
    </row>
  </sheetData>
  <mergeCells count="3">
    <mergeCell ref="B2:F2"/>
    <mergeCell ref="B4:F4"/>
    <mergeCell ref="B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7" min="3" style="0" width="18"/>
  </cols>
  <sheetData>
    <row r="1" customFormat="false" ht="7.5" hidden="false" customHeight="true" outlineLevel="0" collapsed="false"/>
    <row r="2" customFormat="false" ht="30" hidden="false" customHeight="true" outlineLevel="0" collapsed="false">
      <c r="B2" s="1" t="s">
        <v>63</v>
      </c>
      <c r="C2" s="1"/>
      <c r="D2" s="1"/>
      <c r="E2" s="1"/>
      <c r="F2" s="1"/>
      <c r="G2" s="1"/>
    </row>
    <row r="3" customFormat="false" ht="36" hidden="false" customHeight="true" outlineLevel="0" collapsed="false">
      <c r="B3" s="27" t="s">
        <v>64</v>
      </c>
      <c r="C3" s="27"/>
      <c r="D3" s="27"/>
      <c r="E3" s="27"/>
      <c r="F3" s="27"/>
      <c r="G3" s="27"/>
    </row>
    <row r="4" customFormat="false" ht="39.75" hidden="false" customHeight="true" outlineLevel="0" collapsed="false">
      <c r="B4" s="19" t="s">
        <v>65</v>
      </c>
      <c r="C4" s="19" t="s">
        <v>66</v>
      </c>
      <c r="D4" s="19" t="s">
        <v>67</v>
      </c>
      <c r="E4" s="19" t="s">
        <v>68</v>
      </c>
      <c r="F4" s="19" t="s">
        <v>69</v>
      </c>
      <c r="G4" s="19" t="s">
        <v>70</v>
      </c>
    </row>
    <row r="5" customFormat="false" ht="19.5" hidden="false" customHeight="true" outlineLevel="0" collapsed="false">
      <c r="B5" s="3" t="s">
        <v>13</v>
      </c>
      <c r="C5" s="28" t="n">
        <v>52143</v>
      </c>
      <c r="D5" s="29" t="n">
        <v>83571</v>
      </c>
      <c r="E5" s="30" t="n">
        <v>70714</v>
      </c>
      <c r="F5" s="22" t="n">
        <f aca="false">ABS(D5-C5)</f>
        <v>31428</v>
      </c>
      <c r="G5" s="30" t="n">
        <v>1</v>
      </c>
    </row>
    <row r="6" customFormat="false" ht="19.5" hidden="false" customHeight="true" outlineLevel="0" collapsed="false">
      <c r="B6" s="6" t="s">
        <v>7</v>
      </c>
      <c r="C6" s="31" t="n">
        <v>55286</v>
      </c>
      <c r="D6" s="32" t="n">
        <v>84714</v>
      </c>
      <c r="E6" s="33" t="n">
        <v>70714</v>
      </c>
      <c r="F6" s="18" t="n">
        <f aca="false">ABS(D6-C6)</f>
        <v>29428</v>
      </c>
      <c r="G6" s="33" t="n">
        <v>2</v>
      </c>
    </row>
    <row r="7" customFormat="false" ht="19.5" hidden="false" customHeight="true" outlineLevel="0" collapsed="false">
      <c r="B7" s="3" t="s">
        <v>56</v>
      </c>
      <c r="C7" s="28" t="n">
        <v>65250</v>
      </c>
      <c r="D7" s="29" t="n">
        <v>82500</v>
      </c>
      <c r="E7" s="30" t="n">
        <v>70714</v>
      </c>
      <c r="F7" s="22" t="n">
        <f aca="false">ABS(D7-C7)</f>
        <v>17250</v>
      </c>
      <c r="G7" s="30" t="n">
        <v>3</v>
      </c>
    </row>
    <row r="8" customFormat="false" ht="19.5" hidden="false" customHeight="true" outlineLevel="0" collapsed="false">
      <c r="B8" s="6" t="s">
        <v>33</v>
      </c>
      <c r="C8" s="31" t="n">
        <v>63000</v>
      </c>
      <c r="D8" s="32" t="n">
        <v>78750</v>
      </c>
      <c r="E8" s="33" t="n">
        <v>70714</v>
      </c>
      <c r="F8" s="18" t="n">
        <f aca="false">ABS(D8-C8)</f>
        <v>15750</v>
      </c>
      <c r="G8" s="33" t="n">
        <v>4</v>
      </c>
    </row>
    <row r="9" customFormat="false" ht="19.5" hidden="false" customHeight="true" outlineLevel="0" collapsed="false">
      <c r="B9" s="3" t="s">
        <v>57</v>
      </c>
      <c r="C9" s="28" t="n">
        <v>63214</v>
      </c>
      <c r="D9" s="29" t="n">
        <v>77786</v>
      </c>
      <c r="E9" s="30" t="n">
        <v>70714</v>
      </c>
      <c r="F9" s="22" t="n">
        <f aca="false">ABS(D9-C9)</f>
        <v>14572</v>
      </c>
      <c r="G9" s="30" t="n">
        <v>5</v>
      </c>
    </row>
    <row r="10" customFormat="false" ht="19.5" hidden="false" customHeight="true" outlineLevel="0" collapsed="false">
      <c r="B10" s="6" t="s">
        <v>19</v>
      </c>
      <c r="C10" s="31" t="n">
        <v>66500</v>
      </c>
      <c r="D10" s="32" t="n">
        <v>74500</v>
      </c>
      <c r="E10" s="33" t="n">
        <v>70714</v>
      </c>
      <c r="F10" s="18" t="n">
        <f aca="false">ABS(D10-C10)</f>
        <v>8000</v>
      </c>
      <c r="G10" s="33" t="n">
        <v>6</v>
      </c>
    </row>
    <row r="11" customFormat="false" ht="19.5" hidden="false" customHeight="true" outlineLevel="0" collapsed="false">
      <c r="B11" s="3" t="s">
        <v>58</v>
      </c>
      <c r="C11" s="28" t="n">
        <v>67200</v>
      </c>
      <c r="D11" s="29" t="n">
        <v>74100</v>
      </c>
      <c r="E11" s="30" t="n">
        <v>70714</v>
      </c>
      <c r="F11" s="22" t="n">
        <f aca="false">ABS(D11-C11)</f>
        <v>6900</v>
      </c>
      <c r="G11" s="30" t="n">
        <v>7</v>
      </c>
    </row>
    <row r="12" customFormat="false" ht="19.5" hidden="false" customHeight="true" outlineLevel="0" collapsed="false">
      <c r="B12" s="6" t="s">
        <v>24</v>
      </c>
      <c r="C12" s="31" t="n">
        <v>67800</v>
      </c>
      <c r="D12" s="32" t="n">
        <v>73500</v>
      </c>
      <c r="E12" s="33" t="n">
        <v>70714</v>
      </c>
      <c r="F12" s="18" t="n">
        <f aca="false">ABS(D12-C12)</f>
        <v>5700</v>
      </c>
      <c r="G12" s="33" t="n">
        <v>8</v>
      </c>
    </row>
    <row r="13" customFormat="false" ht="19.5" hidden="false" customHeight="true" outlineLevel="0" collapsed="false">
      <c r="B13" s="3" t="s">
        <v>59</v>
      </c>
      <c r="C13" s="28" t="n">
        <v>68400</v>
      </c>
      <c r="D13" s="29" t="n">
        <v>72600</v>
      </c>
      <c r="E13" s="30" t="n">
        <v>70714</v>
      </c>
      <c r="F13" s="22" t="n">
        <f aca="false">ABS(D13-C13)</f>
        <v>4200</v>
      </c>
      <c r="G13" s="30" t="n">
        <v>9</v>
      </c>
    </row>
    <row r="14" customFormat="false" ht="19.5" hidden="false" customHeight="true" outlineLevel="0" collapsed="false">
      <c r="B14" s="6" t="s">
        <v>60</v>
      </c>
      <c r="C14" s="31" t="n">
        <v>69100</v>
      </c>
      <c r="D14" s="32" t="n">
        <v>71900</v>
      </c>
      <c r="E14" s="33" t="n">
        <v>70714</v>
      </c>
      <c r="F14" s="18" t="n">
        <f aca="false">ABS(D14-C14)</f>
        <v>2800</v>
      </c>
      <c r="G14" s="33" t="n">
        <v>10</v>
      </c>
    </row>
    <row r="15" customFormat="false" ht="19.5" hidden="false" customHeight="true" outlineLevel="0" collapsed="false">
      <c r="B15" s="3" t="s">
        <v>22</v>
      </c>
      <c r="C15" s="28" t="n">
        <v>69500</v>
      </c>
      <c r="D15" s="29" t="n">
        <v>71500</v>
      </c>
      <c r="E15" s="30" t="n">
        <v>70714</v>
      </c>
      <c r="F15" s="22" t="n">
        <f aca="false">ABS(D15-C15)</f>
        <v>2000</v>
      </c>
      <c r="G15" s="30" t="n">
        <v>11</v>
      </c>
    </row>
    <row r="16" customFormat="false" ht="19.5" hidden="false" customHeight="true" outlineLevel="0" collapsed="false">
      <c r="B16" s="6" t="s">
        <v>61</v>
      </c>
      <c r="C16" s="31" t="n">
        <v>69800</v>
      </c>
      <c r="D16" s="32" t="n">
        <v>71200</v>
      </c>
      <c r="E16" s="33" t="n">
        <v>70714</v>
      </c>
      <c r="F16" s="18" t="n">
        <f aca="false">ABS(D16-C16)</f>
        <v>1400</v>
      </c>
      <c r="G16" s="33" t="n">
        <v>12</v>
      </c>
    </row>
    <row r="17" customFormat="false" ht="19.5" hidden="false" customHeight="true" outlineLevel="0" collapsed="false">
      <c r="B17" s="3" t="s">
        <v>36</v>
      </c>
      <c r="C17" s="28" t="n">
        <v>70100</v>
      </c>
      <c r="D17" s="29" t="n">
        <v>70900</v>
      </c>
      <c r="E17" s="30" t="n">
        <v>70714</v>
      </c>
      <c r="F17" s="22" t="n">
        <f aca="false">ABS(D17-C17)</f>
        <v>800</v>
      </c>
      <c r="G17" s="30" t="n">
        <v>13</v>
      </c>
    </row>
    <row r="19" customFormat="false" ht="48" hidden="false" customHeight="true" outlineLevel="0" collapsed="false">
      <c r="B19" s="34" t="s">
        <v>71</v>
      </c>
      <c r="C19" s="34"/>
      <c r="D19" s="34"/>
      <c r="E19" s="34"/>
      <c r="F19" s="34"/>
      <c r="G19" s="34"/>
    </row>
  </sheetData>
  <mergeCells count="3">
    <mergeCell ref="B2:G2"/>
    <mergeCell ref="B3:G3"/>
    <mergeCell ref="B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50"/>
    <col collapsed="false" customWidth="true" hidden="false" outlineLevel="0" max="4" min="4" style="0" width="22"/>
    <col collapsed="false" customWidth="true" hidden="false" outlineLevel="0" max="5" min="5" style="0" width="30"/>
  </cols>
  <sheetData>
    <row r="1" customFormat="false" ht="7.5" hidden="false" customHeight="true" outlineLevel="0" collapsed="false"/>
    <row r="2" customFormat="false" ht="30" hidden="false" customHeight="true" outlineLevel="0" collapsed="false">
      <c r="B2" s="1" t="s">
        <v>72</v>
      </c>
      <c r="C2" s="1"/>
      <c r="D2" s="1"/>
      <c r="E2" s="1"/>
    </row>
    <row r="4" customFormat="false" ht="24" hidden="false" customHeight="true" outlineLevel="0" collapsed="false">
      <c r="B4" s="35" t="s">
        <v>73</v>
      </c>
      <c r="C4" s="35"/>
      <c r="D4" s="35"/>
      <c r="E4" s="35"/>
    </row>
    <row r="5" customFormat="false" ht="19.5" hidden="false" customHeight="true" outlineLevel="0" collapsed="false">
      <c r="B5" s="36" t="s">
        <v>74</v>
      </c>
      <c r="C5" s="36" t="s">
        <v>75</v>
      </c>
      <c r="D5" s="36" t="s">
        <v>76</v>
      </c>
      <c r="E5" s="36" t="s">
        <v>77</v>
      </c>
    </row>
    <row r="6" customFormat="false" ht="21.75" hidden="false" customHeight="true" outlineLevel="0" collapsed="false">
      <c r="B6" s="37" t="s">
        <v>78</v>
      </c>
      <c r="C6" s="38" t="s">
        <v>79</v>
      </c>
      <c r="D6" s="39" t="s">
        <v>80</v>
      </c>
      <c r="E6" s="38" t="s">
        <v>81</v>
      </c>
    </row>
    <row r="7" customFormat="false" ht="21.75" hidden="false" customHeight="true" outlineLevel="0" collapsed="false">
      <c r="B7" s="40" t="s">
        <v>78</v>
      </c>
      <c r="C7" s="41" t="s">
        <v>82</v>
      </c>
      <c r="D7" s="42" t="s">
        <v>83</v>
      </c>
      <c r="E7" s="41" t="s">
        <v>84</v>
      </c>
    </row>
    <row r="8" customFormat="false" ht="21.75" hidden="false" customHeight="true" outlineLevel="0" collapsed="false">
      <c r="B8" s="37" t="s">
        <v>78</v>
      </c>
      <c r="C8" s="38" t="s">
        <v>85</v>
      </c>
      <c r="D8" s="39" t="s">
        <v>80</v>
      </c>
      <c r="E8" s="38" t="s">
        <v>86</v>
      </c>
    </row>
    <row r="9" customFormat="false" ht="21.75" hidden="false" customHeight="true" outlineLevel="0" collapsed="false">
      <c r="B9" s="40" t="s">
        <v>78</v>
      </c>
      <c r="C9" s="41" t="s">
        <v>87</v>
      </c>
      <c r="D9" s="43" t="s">
        <v>88</v>
      </c>
      <c r="E9" s="41" t="s">
        <v>89</v>
      </c>
    </row>
    <row r="11" customFormat="false" ht="24" hidden="false" customHeight="true" outlineLevel="0" collapsed="false">
      <c r="B11" s="35" t="s">
        <v>90</v>
      </c>
      <c r="C11" s="35"/>
      <c r="D11" s="35"/>
      <c r="E11" s="35"/>
    </row>
    <row r="12" customFormat="false" ht="19.5" hidden="false" customHeight="true" outlineLevel="0" collapsed="false">
      <c r="B12" s="36" t="s">
        <v>74</v>
      </c>
      <c r="C12" s="36" t="s">
        <v>75</v>
      </c>
      <c r="D12" s="36" t="s">
        <v>76</v>
      </c>
      <c r="E12" s="36" t="s">
        <v>77</v>
      </c>
    </row>
    <row r="13" customFormat="false" ht="21.75" hidden="false" customHeight="true" outlineLevel="0" collapsed="false">
      <c r="B13" s="37" t="s">
        <v>78</v>
      </c>
      <c r="C13" s="38" t="s">
        <v>91</v>
      </c>
      <c r="D13" s="39" t="s">
        <v>80</v>
      </c>
      <c r="E13" s="38" t="s">
        <v>92</v>
      </c>
    </row>
    <row r="14" customFormat="false" ht="21.75" hidden="false" customHeight="true" outlineLevel="0" collapsed="false">
      <c r="B14" s="40" t="s">
        <v>78</v>
      </c>
      <c r="C14" s="41" t="s">
        <v>93</v>
      </c>
      <c r="D14" s="39" t="s">
        <v>80</v>
      </c>
      <c r="E14" s="41" t="s">
        <v>94</v>
      </c>
    </row>
    <row r="15" customFormat="false" ht="21.75" hidden="false" customHeight="true" outlineLevel="0" collapsed="false">
      <c r="B15" s="37" t="s">
        <v>78</v>
      </c>
      <c r="C15" s="38" t="s">
        <v>95</v>
      </c>
      <c r="D15" s="39" t="s">
        <v>80</v>
      </c>
      <c r="E15" s="38" t="s">
        <v>96</v>
      </c>
    </row>
    <row r="16" customFormat="false" ht="21.75" hidden="false" customHeight="true" outlineLevel="0" collapsed="false">
      <c r="B16" s="40" t="s">
        <v>78</v>
      </c>
      <c r="C16" s="41" t="s">
        <v>97</v>
      </c>
      <c r="D16" s="42" t="s">
        <v>83</v>
      </c>
      <c r="E16" s="41" t="s">
        <v>98</v>
      </c>
    </row>
    <row r="17" customFormat="false" ht="21.75" hidden="false" customHeight="true" outlineLevel="0" collapsed="false">
      <c r="B17" s="37" t="s">
        <v>78</v>
      </c>
      <c r="C17" s="38" t="s">
        <v>99</v>
      </c>
      <c r="D17" s="39" t="s">
        <v>80</v>
      </c>
      <c r="E17" s="38" t="s">
        <v>100</v>
      </c>
    </row>
    <row r="19" customFormat="false" ht="24" hidden="false" customHeight="true" outlineLevel="0" collapsed="false">
      <c r="B19" s="35" t="s">
        <v>101</v>
      </c>
      <c r="C19" s="35"/>
      <c r="D19" s="35"/>
      <c r="E19" s="35"/>
    </row>
    <row r="20" customFormat="false" ht="19.5" hidden="false" customHeight="true" outlineLevel="0" collapsed="false">
      <c r="B20" s="36" t="s">
        <v>74</v>
      </c>
      <c r="C20" s="36" t="s">
        <v>75</v>
      </c>
      <c r="D20" s="36" t="s">
        <v>76</v>
      </c>
      <c r="E20" s="36" t="s">
        <v>77</v>
      </c>
    </row>
    <row r="21" customFormat="false" ht="21.75" hidden="false" customHeight="true" outlineLevel="0" collapsed="false">
      <c r="B21" s="37" t="s">
        <v>78</v>
      </c>
      <c r="C21" s="38" t="s">
        <v>102</v>
      </c>
      <c r="D21" s="39" t="s">
        <v>80</v>
      </c>
      <c r="E21" s="38" t="s">
        <v>103</v>
      </c>
    </row>
    <row r="22" customFormat="false" ht="21.75" hidden="false" customHeight="true" outlineLevel="0" collapsed="false">
      <c r="B22" s="40" t="s">
        <v>78</v>
      </c>
      <c r="C22" s="41" t="s">
        <v>104</v>
      </c>
      <c r="D22" s="39" t="s">
        <v>80</v>
      </c>
      <c r="E22" s="41" t="s">
        <v>105</v>
      </c>
    </row>
    <row r="23" customFormat="false" ht="21.75" hidden="false" customHeight="true" outlineLevel="0" collapsed="false">
      <c r="B23" s="37" t="s">
        <v>78</v>
      </c>
      <c r="C23" s="38" t="s">
        <v>106</v>
      </c>
      <c r="D23" s="39" t="s">
        <v>80</v>
      </c>
      <c r="E23" s="38" t="s">
        <v>107</v>
      </c>
    </row>
    <row r="24" customFormat="false" ht="21.75" hidden="false" customHeight="true" outlineLevel="0" collapsed="false">
      <c r="B24" s="40" t="s">
        <v>78</v>
      </c>
      <c r="C24" s="41" t="s">
        <v>108</v>
      </c>
      <c r="D24" s="39" t="s">
        <v>80</v>
      </c>
      <c r="E24" s="41" t="s">
        <v>109</v>
      </c>
    </row>
    <row r="25" customFormat="false" ht="21.75" hidden="false" customHeight="true" outlineLevel="0" collapsed="false">
      <c r="B25" s="37" t="s">
        <v>78</v>
      </c>
      <c r="C25" s="38" t="s">
        <v>110</v>
      </c>
      <c r="D25" s="42" t="s">
        <v>83</v>
      </c>
      <c r="E25" s="38" t="s">
        <v>111</v>
      </c>
    </row>
    <row r="27" customFormat="false" ht="24" hidden="false" customHeight="true" outlineLevel="0" collapsed="false">
      <c r="B27" s="35" t="s">
        <v>112</v>
      </c>
      <c r="C27" s="35"/>
      <c r="D27" s="35"/>
      <c r="E27" s="35"/>
    </row>
    <row r="28" customFormat="false" ht="19.5" hidden="false" customHeight="true" outlineLevel="0" collapsed="false">
      <c r="B28" s="36" t="s">
        <v>74</v>
      </c>
      <c r="C28" s="36" t="s">
        <v>75</v>
      </c>
      <c r="D28" s="36" t="s">
        <v>76</v>
      </c>
      <c r="E28" s="36" t="s">
        <v>77</v>
      </c>
    </row>
    <row r="29" customFormat="false" ht="21.75" hidden="false" customHeight="true" outlineLevel="0" collapsed="false">
      <c r="B29" s="37" t="s">
        <v>78</v>
      </c>
      <c r="C29" s="38" t="s">
        <v>113</v>
      </c>
      <c r="D29" s="39" t="s">
        <v>80</v>
      </c>
      <c r="E29" s="38" t="s">
        <v>114</v>
      </c>
    </row>
    <row r="30" customFormat="false" ht="21.75" hidden="false" customHeight="true" outlineLevel="0" collapsed="false">
      <c r="B30" s="40" t="s">
        <v>78</v>
      </c>
      <c r="C30" s="41" t="s">
        <v>115</v>
      </c>
      <c r="D30" s="39" t="s">
        <v>80</v>
      </c>
      <c r="E30" s="41" t="s">
        <v>116</v>
      </c>
    </row>
    <row r="31" customFormat="false" ht="21.75" hidden="false" customHeight="true" outlineLevel="0" collapsed="false">
      <c r="B31" s="37" t="s">
        <v>78</v>
      </c>
      <c r="C31" s="38" t="s">
        <v>117</v>
      </c>
      <c r="D31" s="42" t="s">
        <v>83</v>
      </c>
      <c r="E31" s="38" t="s">
        <v>118</v>
      </c>
    </row>
    <row r="32" customFormat="false" ht="21.75" hidden="false" customHeight="true" outlineLevel="0" collapsed="false">
      <c r="B32" s="40" t="s">
        <v>78</v>
      </c>
      <c r="C32" s="41" t="s">
        <v>119</v>
      </c>
      <c r="D32" s="39" t="s">
        <v>80</v>
      </c>
      <c r="E32" s="41" t="s">
        <v>120</v>
      </c>
    </row>
    <row r="33" customFormat="false" ht="21.75" hidden="false" customHeight="true" outlineLevel="0" collapsed="false">
      <c r="B33" s="37" t="s">
        <v>78</v>
      </c>
      <c r="C33" s="38" t="s">
        <v>121</v>
      </c>
      <c r="D33" s="42" t="s">
        <v>83</v>
      </c>
      <c r="E33" s="38" t="s">
        <v>122</v>
      </c>
    </row>
    <row r="34" customFormat="false" ht="21.75" hidden="false" customHeight="true" outlineLevel="0" collapsed="false">
      <c r="B34" s="40" t="s">
        <v>78</v>
      </c>
      <c r="C34" s="41" t="s">
        <v>123</v>
      </c>
      <c r="D34" s="39" t="s">
        <v>80</v>
      </c>
      <c r="E34" s="41" t="s">
        <v>124</v>
      </c>
    </row>
    <row r="36" customFormat="false" ht="24" hidden="false" customHeight="true" outlineLevel="0" collapsed="false">
      <c r="B36" s="35" t="s">
        <v>125</v>
      </c>
      <c r="C36" s="35"/>
      <c r="D36" s="35"/>
      <c r="E36" s="35"/>
    </row>
    <row r="37" customFormat="false" ht="19.5" hidden="false" customHeight="true" outlineLevel="0" collapsed="false">
      <c r="B37" s="36" t="s">
        <v>74</v>
      </c>
      <c r="C37" s="36" t="s">
        <v>75</v>
      </c>
      <c r="D37" s="36" t="s">
        <v>76</v>
      </c>
      <c r="E37" s="36" t="s">
        <v>77</v>
      </c>
    </row>
    <row r="38" customFormat="false" ht="21.75" hidden="false" customHeight="true" outlineLevel="0" collapsed="false">
      <c r="B38" s="37" t="s">
        <v>78</v>
      </c>
      <c r="C38" s="38" t="s">
        <v>126</v>
      </c>
      <c r="D38" s="39" t="s">
        <v>80</v>
      </c>
      <c r="E38" s="38" t="s">
        <v>127</v>
      </c>
    </row>
    <row r="39" customFormat="false" ht="21.75" hidden="false" customHeight="true" outlineLevel="0" collapsed="false">
      <c r="B39" s="40" t="s">
        <v>78</v>
      </c>
      <c r="C39" s="41" t="s">
        <v>128</v>
      </c>
      <c r="D39" s="42" t="s">
        <v>83</v>
      </c>
      <c r="E39" s="41" t="s">
        <v>129</v>
      </c>
    </row>
    <row r="40" customFormat="false" ht="21.75" hidden="false" customHeight="true" outlineLevel="0" collapsed="false">
      <c r="B40" s="37" t="s">
        <v>78</v>
      </c>
      <c r="C40" s="38" t="s">
        <v>130</v>
      </c>
      <c r="D40" s="39" t="s">
        <v>80</v>
      </c>
      <c r="E40" s="38" t="s">
        <v>131</v>
      </c>
    </row>
    <row r="41" customFormat="false" ht="21.75" hidden="false" customHeight="true" outlineLevel="0" collapsed="false">
      <c r="B41" s="40" t="s">
        <v>78</v>
      </c>
      <c r="C41" s="41" t="s">
        <v>132</v>
      </c>
      <c r="D41" s="42" t="s">
        <v>83</v>
      </c>
      <c r="E41" s="41" t="s">
        <v>133</v>
      </c>
    </row>
    <row r="42" customFormat="false" ht="21.75" hidden="false" customHeight="true" outlineLevel="0" collapsed="false">
      <c r="B42" s="37" t="s">
        <v>78</v>
      </c>
      <c r="C42" s="38" t="s">
        <v>134</v>
      </c>
      <c r="D42" s="39" t="s">
        <v>80</v>
      </c>
      <c r="E42" s="38" t="s">
        <v>135</v>
      </c>
    </row>
    <row r="43" customFormat="false" ht="21.75" hidden="false" customHeight="true" outlineLevel="0" collapsed="false">
      <c r="B43" s="40" t="s">
        <v>78</v>
      </c>
      <c r="C43" s="41" t="s">
        <v>136</v>
      </c>
      <c r="D43" s="39" t="s">
        <v>80</v>
      </c>
      <c r="E43" s="41" t="s">
        <v>137</v>
      </c>
    </row>
    <row r="46" customFormat="false" ht="36" hidden="false" customHeight="true" outlineLevel="0" collapsed="false">
      <c r="B46" s="44" t="s">
        <v>138</v>
      </c>
      <c r="C46" s="44"/>
      <c r="D46" s="44"/>
      <c r="E46" s="44"/>
    </row>
  </sheetData>
  <mergeCells count="7">
    <mergeCell ref="B2:E2"/>
    <mergeCell ref="B4:E4"/>
    <mergeCell ref="B11:E11"/>
    <mergeCell ref="B19:E19"/>
    <mergeCell ref="B27:E27"/>
    <mergeCell ref="B36:E36"/>
    <mergeCell ref="B46: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2026-06-27T06:56:21Z</dcterms:created>
  <dc:creator>openpyxl</dc:creator>
  <dc:description/>
  <dc:language>en-US</dc:language>
  <cp:lastModifiedBy/>
  <dcterms:modified xsi:type="dcterms:W3CDTF">2026-06-27T06:56:21Z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