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I_BIA" sheetId="1" state="visible" r:id="rId3"/>
    <sheet name="CALCOLI" sheetId="2" state="visible" r:id="rId4"/>
    <sheet name="TORNADO" sheetId="3" state="visible" r:id="rId5"/>
    <sheet name="ISTRUZION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<sst xmlns="http://schemas.openxmlformats.org/spreadsheetml/2006/main" count="155" uniqueCount="132">
  <si>
    <t xml:space="preserve">BUSINESS IMPACT ANALYSIS — DATI INPUT</t>
  </si>
  <si>
    <t xml:space="preserve">Inserire i valori di scenario per ciascuna variabile di rischio. Il foglio CALCOLI si aggiorna automaticamente.</t>
  </si>
  <si>
    <t xml:space="preserve">Variabile di Rischio</t>
  </si>
  <si>
    <t xml:space="preserve">Categoria</t>
  </si>
  <si>
    <t xml:space="preserve">Unità di Misura</t>
  </si>
  <si>
    <t xml:space="preserve">Valore Minimo</t>
  </si>
  <si>
    <t xml:space="preserve">Valore Nominale (Baseline)</t>
  </si>
  <si>
    <t xml:space="preserve">Valore Massimo</t>
  </si>
  <si>
    <t xml:space="preserve">Fonte / Note</t>
  </si>
  <si>
    <t xml:space="preserve">Downtime Sistema IT Primario</t>
  </si>
  <si>
    <t xml:space="preserve">Operativo</t>
  </si>
  <si>
    <t xml:space="preserve">Ore</t>
  </si>
  <si>
    <t xml:space="preserve">Stima IT Dept.</t>
  </si>
  <si>
    <t xml:space="preserve">Downtime Sistema di Backup</t>
  </si>
  <si>
    <t xml:space="preserve">SLA contrattuale</t>
  </si>
  <si>
    <t xml:space="preserve">Costo Ripristino Infrastruttura</t>
  </si>
  <si>
    <t xml:space="preserve">Finanziario</t>
  </si>
  <si>
    <t xml:space="preserve">€ 000</t>
  </si>
  <si>
    <t xml:space="preserve">Preventivo vendor</t>
  </si>
  <si>
    <t xml:space="preserve">Perdita Ricavi Giornalieri</t>
  </si>
  <si>
    <t xml:space="preserve">Media ultimi 12m</t>
  </si>
  <si>
    <t xml:space="preserve">Costo Personale Extra (Recovery)</t>
  </si>
  <si>
    <t xml:space="preserve">HR / contratti</t>
  </si>
  <si>
    <t xml:space="preserve">Penali Contrattuali Clienti</t>
  </si>
  <si>
    <t xml:space="preserve">Legale</t>
  </si>
  <si>
    <t xml:space="preserve">Contratti attivi</t>
  </si>
  <si>
    <t xml:space="preserve">Danni Reputazionali (NPS drop)</t>
  </si>
  <si>
    <t xml:space="preserve">Reputazionale</t>
  </si>
  <si>
    <t xml:space="preserve">Punti NPS</t>
  </si>
  <si>
    <t xml:space="preserve">Storico incidenti</t>
  </si>
  <si>
    <t xml:space="preserve">Clienti a Rischio Churn</t>
  </si>
  <si>
    <t xml:space="preserve">Commerciale</t>
  </si>
  <si>
    <t xml:space="preserve">N° clienti</t>
  </si>
  <si>
    <t xml:space="preserve">CRM / segmento</t>
  </si>
  <si>
    <t xml:space="preserve">Tempo di Recovery (RTO effettivo)</t>
  </si>
  <si>
    <t xml:space="preserve">Test DR 2024</t>
  </si>
  <si>
    <t xml:space="preserve">Perdita Dati (RPO effettivo)</t>
  </si>
  <si>
    <t xml:space="preserve">Ore dati</t>
  </si>
  <si>
    <t xml:space="preserve">Policy backup</t>
  </si>
  <si>
    <t xml:space="preserve">Costo Notifiche Regolamentari</t>
  </si>
  <si>
    <t xml:space="preserve">Compliance</t>
  </si>
  <si>
    <t xml:space="preserve">GDPR/NIS2 est.</t>
  </si>
  <si>
    <t xml:space="preserve">Impatto su SLA Erogazione Servizi</t>
  </si>
  <si>
    <t xml:space="preserve">Qualità</t>
  </si>
  <si>
    <t xml:space="preserve">% SLA miss</t>
  </si>
  <si>
    <t xml:space="preserve">Contratti SLA</t>
  </si>
  <si>
    <t xml:space="preserve">CALCOLI IMPATTO — DELTA vs BASELINE</t>
  </si>
  <si>
    <t xml:space="preserve">Calcolo automatico delle variazioni rispetto al valore nominale. Aggiorna DATI_BIA per ricalcolare.</t>
  </si>
  <si>
    <t xml:space="preserve">Unità</t>
  </si>
  <si>
    <t xml:space="preserve">Baseline (Nominale)</t>
  </si>
  <si>
    <t xml:space="preserve">Scenario Pessimistico (Max)</t>
  </si>
  <si>
    <t xml:space="preserve">Scenario Ottimistico (Min)</t>
  </si>
  <si>
    <t xml:space="preserve">Δ Downside (Max−Base)</t>
  </si>
  <si>
    <t xml:space="preserve">Δ Upside (Base−Min)</t>
  </si>
  <si>
    <t xml:space="preserve">Swing Totale (Max−Min)</t>
  </si>
  <si>
    <t xml:space="preserve">Impatto % Downside</t>
  </si>
  <si>
    <t xml:space="preserve">TOTALE SWING AGGREGATO</t>
  </si>
  <si>
    <t xml:space="preserve">TORNADO DIAGRAM — ANALISI SENSITIVITÀ BIA</t>
  </si>
  <si>
    <t xml:space="preserve">Variabili ordinate per Swing Totale decrescente (maggiore impatto in cima).</t>
  </si>
  <si>
    <t xml:space="preserve">Δ Downside = rischio peggioramento (rosso)  |  Δ Upside = potenziale miglioramento (teal)  |  Aggiorna DATI_BIA → tutto si ricalcola</t>
  </si>
  <si>
    <t xml:space="preserve">Variabile di Rischio (ord. per impatto)</t>
  </si>
  <si>
    <t xml:space="preserve">Δ Downside (rischio)</t>
  </si>
  <si>
    <t xml:space="preserve">Δ Upside (opportunità)</t>
  </si>
  <si>
    <t xml:space="preserve">Swing Totale</t>
  </si>
  <si>
    <t xml:space="preserve">Rank</t>
  </si>
  <si>
    <t xml:space="preserve">GUIDA ALL'USO — TORNADO DIAGRAM BIA</t>
  </si>
  <si>
    <t xml:space="preserve">Questo modello genera automaticamente un Tornado Diagram dinamico basato sui dati BIA che inserisci.</t>
  </si>
  <si>
    <t xml:space="preserve">  STRUTTURA DEL MODELLO — 4 FOGLI</t>
  </si>
  <si>
    <t xml:space="preserve">1</t>
  </si>
  <si>
    <t xml:space="preserve">DATI_BIA — Foglio di INPUT</t>
  </si>
  <si>
    <t xml:space="preserve">Inserisci qui le variabili con i tre scenari (min / nominale / max). Partenza di tutto il modello.</t>
  </si>
  <si>
    <t xml:space="preserve">2</t>
  </si>
  <si>
    <t xml:space="preserve">CALCOLI — Calcolo automatico delta</t>
  </si>
  <si>
    <t xml:space="preserve">Calcola delta vs baseline e swing totale. Non modificare direttamente: si alimenta da DATI_BIA.</t>
  </si>
  <si>
    <t xml:space="preserve">3</t>
  </si>
  <si>
    <t xml:space="preserve">TORNADO — Visualizzazione grafico</t>
  </si>
  <si>
    <t xml:space="preserve">Mostra il grafico a barre speculare. Le variabili si riordinano automaticamente per impatto.</t>
  </si>
  <si>
    <t xml:space="preserve">4</t>
  </si>
  <si>
    <t xml:space="preserve">ISTRUZIONI — Questa guida</t>
  </si>
  <si>
    <t xml:space="preserve">Documentazione operativa. Non influisce sui calcoli.</t>
  </si>
  <si>
    <t xml:space="preserve">  COME AGGIORNARE I DATI PER UNA NUOVA SIMULAZIONE</t>
  </si>
  <si>
    <t xml:space="preserve">Vai al foglio DATI_BIA</t>
  </si>
  <si>
    <t xml:space="preserve">Clicca sulla scheda 'DATI_BIA' in fondo alla finestra Excel.</t>
  </si>
  <si>
    <t xml:space="preserve">Modifica i valori nelle colonne E, F, G</t>
  </si>
  <si>
    <t xml:space="preserve">E = Min (ottimistico)  |  F = Nominale/Baseline  |  G = Max (pessimistico)</t>
  </si>
  <si>
    <t xml:space="preserve">Aggiorna la colonna H (Fonte / Note)</t>
  </si>
  <si>
    <t xml:space="preserve">Annota fonte, data e responsabile per tracciabilità (es. 'Revisione Q3 2026 – IT Risk').</t>
  </si>
  <si>
    <t xml:space="preserve">Vai al foglio CALCOLI per verifica</t>
  </si>
  <si>
    <t xml:space="preserve">Controlla che i delta si siano aggiornati. Verifica la riga TOTALE in fondo.</t>
  </si>
  <si>
    <t xml:space="preserve">5</t>
  </si>
  <si>
    <t xml:space="preserve">Vai al foglio TORNADO per il grafico</t>
  </si>
  <si>
    <t xml:space="preserve">Il grafico si rigenera automaticamente. L'ordinamento per swing si aggiorna.</t>
  </si>
  <si>
    <t xml:space="preserve">6</t>
  </si>
  <si>
    <t xml:space="preserve">Aggiungi nuove variabili (opzionale)</t>
  </si>
  <si>
    <t xml:space="preserve">Inserisci nuove righe in DATI_BIA (righe 5-16). Poi estendi le formule in CALCOLI e TORNADO copiando le righe adiacenti.</t>
  </si>
  <si>
    <t xml:space="preserve">  LOGICA DEL TORNADO DIAGRAM</t>
  </si>
  <si>
    <t xml:space="preserve">?</t>
  </si>
  <si>
    <t xml:space="preserve">Cosa misura il Tornado?</t>
  </si>
  <si>
    <t xml:space="preserve">Mostra quali variabili hanno il MAGGIORE impatto sull'outcome. Più larga la barra, più critica la variabile.</t>
  </si>
  <si>
    <t xml:space="preserve">→</t>
  </si>
  <si>
    <t xml:space="preserve">Δ Downside (barre rosse)</t>
  </si>
  <si>
    <t xml:space="preserve">Valore Max meno Baseline. Peggioramento se lo scenario pessimistico si realizza.</t>
  </si>
  <si>
    <t xml:space="preserve">Δ Upside (barre teal)</t>
  </si>
  <si>
    <t xml:space="preserve">Baseline meno Valore Min. Miglioramento possibile nello scenario ottimistico.</t>
  </si>
  <si>
    <t xml:space="preserve">=</t>
  </si>
  <si>
    <t xml:space="preserve">Valore Max meno Valore Min. Metrica di ordinamento: variabili con swing maggiore appaiono in cima.</t>
  </si>
  <si>
    <t xml:space="preserve">∑</t>
  </si>
  <si>
    <t xml:space="preserve">Ordinamento automatico</t>
  </si>
  <si>
    <t xml:space="preserve">Il foglio TORNADO usa LARGE() + INDEX() + MATCH() per ordinare senza macro. Si aggiorna ad ogni modifica.</t>
  </si>
  <si>
    <t xml:space="preserve">  BEST PRACTICES PER SIMULAZIONI DI RISCHIO</t>
  </si>
  <si>
    <t xml:space="preserve">✓</t>
  </si>
  <si>
    <t xml:space="preserve">Usa stime coerenti con la distribuzione di probabilità</t>
  </si>
  <si>
    <t xml:space="preserve">I valori Min e Max dovrebbero rappresentare P5 e P95 (5° e 95° percentile).</t>
  </si>
  <si>
    <t xml:space="preserve">Documenta sempre le assunzioni</t>
  </si>
  <si>
    <t xml:space="preserve">Usa la colonna Fonte/Note: data, responsabile e metodo di stima per ogni variabile.</t>
  </si>
  <si>
    <t xml:space="preserve">Riesegui la simulazione periodicamente</t>
  </si>
  <si>
    <t xml:space="preserve">Suggerito: aggiornamento trimestrale o dopo ogni incidente/cambio infrastrutturale significativo.</t>
  </si>
  <si>
    <t xml:space="preserve">Salva copie storiche prima di aggiornare</t>
  </si>
  <si>
    <t xml:space="preserve">Rinomina il file con la data (es. BIA_Tornado_2026Q2.xlsx) per tracking nel tempo.</t>
  </si>
  <si>
    <t xml:space="preserve">Prioritizza le mitigazioni dal grafico</t>
  </si>
  <si>
    <t xml:space="preserve">Le variabili in cima al Tornado devono essere le prime da indirizzare nel Piano di Continuità Operativa.</t>
  </si>
  <si>
    <t xml:space="preserve">Crea un foglio SCENARI per analisi what-if avanzata</t>
  </si>
  <si>
    <t xml:space="preserve">Aggiungi scenari named (Cyberattack, Alluvione, Blackout) con valori preimpostati e selezione via lista a discesa.</t>
  </si>
  <si>
    <t xml:space="preserve">  LEGENDA COLORI</t>
  </si>
  <si>
    <t xml:space="preserve">Sfondo dorato</t>
  </si>
  <si>
    <t xml:space="preserve">Valore Nominale / Baseline — riferimento centrale dell'analisi</t>
  </si>
  <si>
    <t xml:space="preserve">Testo rosso</t>
  </si>
  <si>
    <t xml:space="preserve">Δ Downside — incremento negativo, rischio di peggioramento</t>
  </si>
  <si>
    <t xml:space="preserve">Testo teal</t>
  </si>
  <si>
    <t xml:space="preserve">Δ Upside — margine di miglioramento possibile</t>
  </si>
  <si>
    <t xml:space="preserve">Scala blu→rosso</t>
  </si>
  <si>
    <t xml:space="preserve">Swing totale — basso impatto (teal) → alto impatto (rosso)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</si>
</sst>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A13544"/>
      <name val="Calibri"/>
      <family val="0"/>
      <charset val="1"/>
    </font>
    <font>
      <b val="true"/>
      <sz val="10"/>
      <color rgb="FF20808D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b val="true"/>
      <sz val="11"/>
      <color rgb="FF1B474D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9"/>
      <color rgb="FF28251D"/>
      <name val="Calibri"/>
      <family val="0"/>
      <charset val="1"/>
    </font>
    <font>
      <sz val="9"/>
      <color rgb="FF28251D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C4E54"/>
        <bgColor rgb="FF1B474D"/>
      </patternFill>
    </fill>
    <fill>
      <patternFill patternType="solid">
        <fgColor rgb="FF1B474D"/>
        <bgColor rgb="FF0C4E54"/>
      </patternFill>
    </fill>
    <fill>
      <patternFill patternType="solid">
        <fgColor rgb="FFF0F8F9"/>
        <bgColor rgb="FFFFFFFF"/>
      </patternFill>
    </fill>
    <fill>
      <patternFill patternType="solid">
        <fgColor rgb="FFFFF3CD"/>
        <bgColor rgb="FFF0F8F9"/>
      </patternFill>
    </fill>
    <fill>
      <patternFill patternType="solid">
        <fgColor rgb="FFFFFFFF"/>
        <bgColor rgb="FFF0F8F9"/>
      </patternFill>
    </fill>
    <fill>
      <patternFill patternType="solid">
        <fgColor rgb="FF20808D"/>
        <bgColor rgb="FF008080"/>
      </patternFill>
    </fill>
    <fill>
      <patternFill patternType="solid">
        <fgColor rgb="FFBCE2E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474D"/>
          <bgColor rgb="FF000000"/>
        </patternFill>
      </fill>
    </dxf>
    <dxf>
      <fill>
        <patternFill patternType="solid">
          <fgColor rgb="FFF0F8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A13544"/>
      <rgbColor rgb="FFFFF3CD"/>
      <rgbColor rgb="FFF0F8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CE2E7"/>
      <rgbColor rgb="FFCCFFCC"/>
      <rgbColor rgb="FFFFFF99"/>
      <rgbColor rgb="FF99CCFF"/>
      <rgbColor rgb="FFFF99CC"/>
      <rgbColor rgb="FFCC99FF"/>
      <rgbColor rgb="FFFFC55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C4E54"/>
      <rgbColor rgb="FF339966"/>
      <rgbColor rgb="FF003300"/>
      <rgbColor rgb="FF333300"/>
      <rgbColor rgb="FF993300"/>
      <rgbColor rgb="FF993366"/>
      <rgbColor rgb="FF1B474D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 Diagram — Variazione Impatto vs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TORNADO!C5</c:f>
              <c:strCache>
                <c:ptCount val="1"/>
                <c:pt idx="0">
                  <c:v>Δ Downside (rischio)</c:v>
                </c:pt>
              </c:strCache>
            </c:strRef>
          </c:tx>
          <c:spPr>
            <a:solidFill>
              <a:srgbClr val="A13544"/>
            </a:solidFill>
            <a:ln w="12600">
              <a:solidFill>
                <a:srgbClr val="A1354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A1354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TORNADO!$B$6:$B$17</c:f>
              <c:strCache>
                <c:ptCount val="12"/>
                <c:pt idx="0">
                  <c:v>Costo Ripristino Infrastruttura</c:v>
                </c:pt>
                <c:pt idx="1">
                  <c:v>Perdita Ricavi Giornalieri</c:v>
                </c:pt>
                <c:pt idx="2">
                  <c:v>Penali Contrattuali Clienti</c:v>
                </c:pt>
                <c:pt idx="3">
                  <c:v>Costo Personale Extra (Recovery)</c:v>
                </c:pt>
                <c:pt idx="4">
                  <c:v>Costo Personale Extra (Recovery)</c:v>
                </c:pt>
                <c:pt idx="5">
                  <c:v>Costo Notifiche Regolamentari</c:v>
                </c:pt>
                <c:pt idx="6">
                  <c:v>Tempo di Recovery (RTO effettivo)</c:v>
                </c:pt>
                <c:pt idx="7">
                  <c:v>Downtime Sistema IT Primario</c:v>
                </c:pt>
                <c:pt idx="8">
                  <c:v>Downtime Sistema di Backup</c:v>
                </c:pt>
                <c:pt idx="9">
                  <c:v>Downtime Sistema di Backup</c:v>
                </c:pt>
                <c:pt idx="10">
                  <c:v>Danni Reputazionali (NPS drop)</c:v>
                </c:pt>
                <c:pt idx="11">
                  <c:v>Impatto su SLA Erogazione Servizi</c:v>
                </c:pt>
              </c:strCache>
            </c:strRef>
          </c:cat>
          <c:val>
            <c:numRef>
              <c:f>TORNADO!$C$6:$C$17</c:f>
              <c:numCache>
                <c:formatCode>#,##0.0</c:formatCode>
                <c:ptCount val="12"/>
                <c:pt idx="0">
                  <c:v>600</c:v>
                </c:pt>
                <c:pt idx="1">
                  <c:v>270</c:v>
                </c:pt>
                <c:pt idx="2">
                  <c:v>125</c:v>
                </c:pt>
                <c:pt idx="3">
                  <c:v>90</c:v>
                </c:pt>
                <c:pt idx="4">
                  <c:v>90</c:v>
                </c:pt>
                <c:pt idx="5">
                  <c:v>65</c:v>
                </c:pt>
                <c:pt idx="6">
                  <c:v>60</c:v>
                </c:pt>
                <c:pt idx="7">
                  <c:v>40</c:v>
                </c:pt>
                <c:pt idx="8">
                  <c:v>20</c:v>
                </c:pt>
                <c:pt idx="9">
                  <c:v>20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</c:ser>
        <c:ser>
          <c:idx val="1"/>
          <c:order val="1"/>
          <c:tx>
            <c:strRef>
              <c:f>TORNADO!D5</c:f>
              <c:strCache>
                <c:ptCount val="1"/>
                <c:pt idx="0">
                  <c:v>Δ Upside (opportunità)</c:v>
                </c:pt>
              </c:strCache>
            </c:strRef>
          </c:tx>
          <c:spPr>
            <a:solidFill>
              <a:srgbClr val="20808D"/>
            </a:solidFill>
            <a:ln w="12600">
              <a:solidFill>
                <a:srgbClr val="20808D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20808D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TORNADO!$B$6:$B$17</c:f>
              <c:strCache>
                <c:ptCount val="12"/>
                <c:pt idx="0">
                  <c:v>Costo Ripristino Infrastruttura</c:v>
                </c:pt>
                <c:pt idx="1">
                  <c:v>Perdita Ricavi Giornalieri</c:v>
                </c:pt>
                <c:pt idx="2">
                  <c:v>Penali Contrattuali Clienti</c:v>
                </c:pt>
                <c:pt idx="3">
                  <c:v>Costo Personale Extra (Recovery)</c:v>
                </c:pt>
                <c:pt idx="4">
                  <c:v>Costo Personale Extra (Recovery)</c:v>
                </c:pt>
                <c:pt idx="5">
                  <c:v>Costo Notifiche Regolamentari</c:v>
                </c:pt>
                <c:pt idx="6">
                  <c:v>Tempo di Recovery (RTO effettivo)</c:v>
                </c:pt>
                <c:pt idx="7">
                  <c:v>Downtime Sistema IT Primario</c:v>
                </c:pt>
                <c:pt idx="8">
                  <c:v>Downtime Sistema di Backup</c:v>
                </c:pt>
                <c:pt idx="9">
                  <c:v>Downtime Sistema di Backup</c:v>
                </c:pt>
                <c:pt idx="10">
                  <c:v>Danni Reputazionali (NPS drop)</c:v>
                </c:pt>
                <c:pt idx="11">
                  <c:v>Impatto su SLA Erogazione Servizi</c:v>
                </c:pt>
              </c:strCache>
            </c:strRef>
          </c:cat>
          <c:val>
            <c:numRef>
              <c:f>TORNADO!$D$6:$D$17</c:f>
              <c:numCache>
                <c:formatCode>#,##0.0</c:formatCode>
                <c:ptCount val="12"/>
                <c:pt idx="0">
                  <c:v>150</c:v>
                </c:pt>
                <c:pt idx="1">
                  <c:v>60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15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</c:ser>
        <c:gapWidth val="150"/>
        <c:overlap val="100"/>
        <c:axId val="62056413"/>
        <c:axId val="18185062"/>
      </c:barChart>
      <c:catAx>
        <c:axId val="6205641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Variazione rispetto alla Baseline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185062"/>
        <c:crosses val="autoZero"/>
        <c:auto val="1"/>
        <c:lblAlgn val="ctr"/>
        <c:lblOffset val="100"/>
        <c:noMultiLvlLbl val="0"/>
      </c:catAx>
      <c:valAx>
        <c:axId val="18185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Variabile di Rischio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0564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10</xdr:col>
      <xdr:colOff>5760</xdr:colOff>
      <xdr:row>53</xdr:row>
      <xdr:rowOff>2520</xdr:rowOff>
    </xdr:to>
    <xdr:graphicFrame>
      <xdr:nvGraphicFramePr>
        <xdr:cNvPr id="1" name="Chart 1"/>
        <xdr:cNvGraphicFramePr/>
      </xdr:nvGraphicFramePr>
      <xdr:xfrm>
        <a:off x="211320" y="5210280"/>
        <a:ext cx="9359280" cy="64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laInputBIA" displayName="TabellaInputBIA" ref="B4:H16" headerRowCount="1" totalsRowCount="0" totalsRowShown="0">
  <autoFilter ref="B4:H16"/>
  <tableColumns count="7">
    <tableColumn id="1" name="Variabile di Rischio"/>
    <tableColumn id="2" name="Categoria"/>
    <tableColumn id="3" name="Unità di Misura"/>
    <tableColumn id="4" name="Valore Minimo"/>
    <tableColumn id="5" name="Valore Nominale (Baseline)"/>
    <tableColumn id="6" name="Valore Massimo"/>
    <tableColumn id="7" name="Fonte / Note"/>
  </tableColumns>
  <tableStyleInfo name="TableStyleMedium2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808D"/>
    <pageSetUpPr fitToPage="false"/>
  </sheetPr>
  <dimension ref="B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22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36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19.5" hidden="false" customHeight="true" outlineLevel="0" collapsed="false">
      <c r="B5" s="5" t="s">
        <v>9</v>
      </c>
      <c r="C5" s="6" t="s">
        <v>10</v>
      </c>
      <c r="D5" s="6" t="s">
        <v>11</v>
      </c>
      <c r="E5" s="7" t="n">
        <v>2</v>
      </c>
      <c r="F5" s="8" t="n">
        <v>8</v>
      </c>
      <c r="G5" s="7" t="n">
        <v>48</v>
      </c>
      <c r="H5" s="5" t="s">
        <v>12</v>
      </c>
    </row>
    <row r="6" customFormat="false" ht="19.5" hidden="false" customHeight="true" outlineLevel="0" collapsed="false">
      <c r="B6" s="9" t="s">
        <v>13</v>
      </c>
      <c r="C6" s="10" t="s">
        <v>10</v>
      </c>
      <c r="D6" s="10" t="s">
        <v>11</v>
      </c>
      <c r="E6" s="11" t="n">
        <v>0</v>
      </c>
      <c r="F6" s="8" t="n">
        <v>4</v>
      </c>
      <c r="G6" s="11" t="n">
        <v>24</v>
      </c>
      <c r="H6" s="9" t="s">
        <v>14</v>
      </c>
    </row>
    <row r="7" customFormat="false" ht="19.5" hidden="false" customHeight="true" outlineLevel="0" collapsed="false">
      <c r="B7" s="5" t="s">
        <v>15</v>
      </c>
      <c r="C7" s="6" t="s">
        <v>16</v>
      </c>
      <c r="D7" s="6" t="s">
        <v>17</v>
      </c>
      <c r="E7" s="7" t="n">
        <v>50</v>
      </c>
      <c r="F7" s="8" t="n">
        <v>200</v>
      </c>
      <c r="G7" s="7" t="n">
        <v>800</v>
      </c>
      <c r="H7" s="5" t="s">
        <v>18</v>
      </c>
    </row>
    <row r="8" customFormat="false" ht="19.5" hidden="false" customHeight="true" outlineLevel="0" collapsed="false">
      <c r="B8" s="9" t="s">
        <v>19</v>
      </c>
      <c r="C8" s="10" t="s">
        <v>16</v>
      </c>
      <c r="D8" s="10" t="s">
        <v>17</v>
      </c>
      <c r="E8" s="11" t="n">
        <v>20</v>
      </c>
      <c r="F8" s="8" t="n">
        <v>80</v>
      </c>
      <c r="G8" s="11" t="n">
        <v>350</v>
      </c>
      <c r="H8" s="9" t="s">
        <v>20</v>
      </c>
    </row>
    <row r="9" customFormat="false" ht="19.5" hidden="false" customHeight="true" outlineLevel="0" collapsed="false">
      <c r="B9" s="5" t="s">
        <v>21</v>
      </c>
      <c r="C9" s="6" t="s">
        <v>16</v>
      </c>
      <c r="D9" s="6" t="s">
        <v>17</v>
      </c>
      <c r="E9" s="7" t="n">
        <v>5</v>
      </c>
      <c r="F9" s="8" t="n">
        <v>30</v>
      </c>
      <c r="G9" s="7" t="n">
        <v>120</v>
      </c>
      <c r="H9" s="5" t="s">
        <v>22</v>
      </c>
    </row>
    <row r="10" customFormat="false" ht="19.5" hidden="false" customHeight="true" outlineLevel="0" collapsed="false">
      <c r="B10" s="9" t="s">
        <v>23</v>
      </c>
      <c r="C10" s="10" t="s">
        <v>24</v>
      </c>
      <c r="D10" s="10" t="s">
        <v>17</v>
      </c>
      <c r="E10" s="11" t="n">
        <v>0</v>
      </c>
      <c r="F10" s="8" t="n">
        <v>25</v>
      </c>
      <c r="G10" s="11" t="n">
        <v>150</v>
      </c>
      <c r="H10" s="9" t="s">
        <v>25</v>
      </c>
    </row>
    <row r="11" customFormat="false" ht="19.5" hidden="false" customHeight="true" outlineLevel="0" collapsed="false">
      <c r="B11" s="5" t="s">
        <v>26</v>
      </c>
      <c r="C11" s="6" t="s">
        <v>27</v>
      </c>
      <c r="D11" s="6" t="s">
        <v>28</v>
      </c>
      <c r="E11" s="7" t="n">
        <v>2</v>
      </c>
      <c r="F11" s="8" t="n">
        <v>8</v>
      </c>
      <c r="G11" s="7" t="n">
        <v>25</v>
      </c>
      <c r="H11" s="5" t="s">
        <v>29</v>
      </c>
    </row>
    <row r="12" customFormat="false" ht="19.5" hidden="false" customHeight="true" outlineLevel="0" collapsed="false">
      <c r="B12" s="9" t="s">
        <v>30</v>
      </c>
      <c r="C12" s="10" t="s">
        <v>31</v>
      </c>
      <c r="D12" s="10" t="s">
        <v>32</v>
      </c>
      <c r="E12" s="11" t="n">
        <v>5</v>
      </c>
      <c r="F12" s="8" t="n">
        <v>30</v>
      </c>
      <c r="G12" s="11" t="n">
        <v>120</v>
      </c>
      <c r="H12" s="9" t="s">
        <v>33</v>
      </c>
    </row>
    <row r="13" customFormat="false" ht="19.5" hidden="false" customHeight="true" outlineLevel="0" collapsed="false">
      <c r="B13" s="5" t="s">
        <v>34</v>
      </c>
      <c r="C13" s="6" t="s">
        <v>10</v>
      </c>
      <c r="D13" s="6" t="s">
        <v>11</v>
      </c>
      <c r="E13" s="7" t="n">
        <v>4</v>
      </c>
      <c r="F13" s="8" t="n">
        <v>12</v>
      </c>
      <c r="G13" s="7" t="n">
        <v>72</v>
      </c>
      <c r="H13" s="5" t="s">
        <v>35</v>
      </c>
    </row>
    <row r="14" customFormat="false" ht="19.5" hidden="false" customHeight="true" outlineLevel="0" collapsed="false">
      <c r="B14" s="9" t="s">
        <v>36</v>
      </c>
      <c r="C14" s="10" t="s">
        <v>10</v>
      </c>
      <c r="D14" s="10" t="s">
        <v>37</v>
      </c>
      <c r="E14" s="11" t="n">
        <v>0</v>
      </c>
      <c r="F14" s="8" t="n">
        <v>4</v>
      </c>
      <c r="G14" s="11" t="n">
        <v>24</v>
      </c>
      <c r="H14" s="9" t="s">
        <v>38</v>
      </c>
    </row>
    <row r="15" customFormat="false" ht="19.5" hidden="false" customHeight="true" outlineLevel="0" collapsed="false">
      <c r="B15" s="5" t="s">
        <v>39</v>
      </c>
      <c r="C15" s="6" t="s">
        <v>40</v>
      </c>
      <c r="D15" s="6" t="s">
        <v>17</v>
      </c>
      <c r="E15" s="7" t="n">
        <v>0</v>
      </c>
      <c r="F15" s="8" t="n">
        <v>15</v>
      </c>
      <c r="G15" s="7" t="n">
        <v>80</v>
      </c>
      <c r="H15" s="5" t="s">
        <v>41</v>
      </c>
    </row>
    <row r="16" customFormat="false" ht="19.5" hidden="false" customHeight="true" outlineLevel="0" collapsed="false">
      <c r="B16" s="9" t="s">
        <v>42</v>
      </c>
      <c r="C16" s="10" t="s">
        <v>43</v>
      </c>
      <c r="D16" s="10" t="s">
        <v>44</v>
      </c>
      <c r="E16" s="11" t="n">
        <v>1</v>
      </c>
      <c r="F16" s="8" t="n">
        <v>5</v>
      </c>
      <c r="G16" s="11" t="n">
        <v>20</v>
      </c>
      <c r="H16" s="9" t="s">
        <v>45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553"/>
    <pageSetUpPr fitToPage="false"/>
  </sheetPr>
  <dimension ref="B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6" min="5" style="1" width="20"/>
    <col collapsed="false" customWidth="true" hidden="false" outlineLevel="0" max="9" min="7" style="1" width="18"/>
    <col collapsed="false" customWidth="true" hidden="false" outlineLevel="0" max="10" min="10" style="1" width="16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2" t="s">
        <v>46</v>
      </c>
      <c r="C2" s="2"/>
      <c r="D2" s="2"/>
      <c r="E2" s="2"/>
      <c r="F2" s="2"/>
      <c r="G2" s="2"/>
      <c r="H2" s="2"/>
      <c r="I2" s="2"/>
      <c r="J2" s="2"/>
    </row>
    <row r="3" customFormat="false" ht="18" hidden="false" customHeight="true" outlineLevel="0" collapsed="false">
      <c r="B3" s="3" t="s">
        <v>47</v>
      </c>
      <c r="C3" s="3"/>
      <c r="D3" s="3"/>
      <c r="E3" s="3"/>
      <c r="F3" s="3"/>
      <c r="G3" s="3"/>
      <c r="H3" s="3"/>
      <c r="I3" s="3"/>
      <c r="J3" s="3"/>
    </row>
    <row r="4" customFormat="false" ht="36" hidden="false" customHeight="true" outlineLevel="0" collapsed="false">
      <c r="B4" s="4" t="s">
        <v>2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</row>
    <row r="5" customFormat="false" ht="19.5" hidden="false" customHeight="true" outlineLevel="0" collapsed="false">
      <c r="B5" s="5" t="str">
        <f aca="false">DATI_BIA!B5</f>
        <v>Downtime Sistema IT Primario</v>
      </c>
      <c r="C5" s="6" t="str">
        <f aca="false">DATI_BIA!D5</f>
        <v>Ore</v>
      </c>
      <c r="D5" s="8" t="n">
        <f aca="false">DATI_BIA!F5</f>
        <v>8</v>
      </c>
      <c r="E5" s="7" t="n">
        <f aca="false">DATI_BIA!G5</f>
        <v>48</v>
      </c>
      <c r="F5" s="7" t="n">
        <f aca="false">DATI_BIA!E5</f>
        <v>2</v>
      </c>
      <c r="G5" s="12" t="n">
        <f aca="false">E5-D5</f>
        <v>40</v>
      </c>
      <c r="H5" s="13" t="n">
        <f aca="false">D5-F5</f>
        <v>6</v>
      </c>
      <c r="I5" s="14" t="n">
        <f aca="false">E5-F5</f>
        <v>46</v>
      </c>
      <c r="J5" s="15" t="n">
        <f aca="false">IF(D5&lt;&gt;0,(E5-D5)/D5,0)</f>
        <v>5</v>
      </c>
    </row>
    <row r="6" customFormat="false" ht="19.5" hidden="false" customHeight="true" outlineLevel="0" collapsed="false">
      <c r="B6" s="9" t="str">
        <f aca="false">DATI_BIA!B6</f>
        <v>Downtime Sistema di Backup</v>
      </c>
      <c r="C6" s="10" t="str">
        <f aca="false">DATI_BIA!D6</f>
        <v>Ore</v>
      </c>
      <c r="D6" s="8" t="n">
        <f aca="false">DATI_BIA!F6</f>
        <v>4</v>
      </c>
      <c r="E6" s="11" t="n">
        <f aca="false">DATI_BIA!G6</f>
        <v>24</v>
      </c>
      <c r="F6" s="11" t="n">
        <f aca="false">DATI_BIA!E6</f>
        <v>0</v>
      </c>
      <c r="G6" s="16" t="n">
        <f aca="false">E6-D6</f>
        <v>20</v>
      </c>
      <c r="H6" s="17" t="n">
        <f aca="false">D6-F6</f>
        <v>4</v>
      </c>
      <c r="I6" s="18" t="n">
        <f aca="false">E6-F6</f>
        <v>24</v>
      </c>
      <c r="J6" s="19" t="n">
        <f aca="false">IF(D6&lt;&gt;0,(E6-D6)/D6,0)</f>
        <v>5</v>
      </c>
    </row>
    <row r="7" customFormat="false" ht="19.5" hidden="false" customHeight="true" outlineLevel="0" collapsed="false">
      <c r="B7" s="5" t="str">
        <f aca="false">DATI_BIA!B7</f>
        <v>Costo Ripristino Infrastruttura</v>
      </c>
      <c r="C7" s="6" t="str">
        <f aca="false">DATI_BIA!D7</f>
        <v>€ 000</v>
      </c>
      <c r="D7" s="8" t="n">
        <f aca="false">DATI_BIA!F7</f>
        <v>200</v>
      </c>
      <c r="E7" s="7" t="n">
        <f aca="false">DATI_BIA!G7</f>
        <v>800</v>
      </c>
      <c r="F7" s="7" t="n">
        <f aca="false">DATI_BIA!E7</f>
        <v>50</v>
      </c>
      <c r="G7" s="12" t="n">
        <f aca="false">E7-D7</f>
        <v>600</v>
      </c>
      <c r="H7" s="13" t="n">
        <f aca="false">D7-F7</f>
        <v>150</v>
      </c>
      <c r="I7" s="14" t="n">
        <f aca="false">E7-F7</f>
        <v>750</v>
      </c>
      <c r="J7" s="15" t="n">
        <f aca="false">IF(D7&lt;&gt;0,(E7-D7)/D7,0)</f>
        <v>3</v>
      </c>
    </row>
    <row r="8" customFormat="false" ht="19.5" hidden="false" customHeight="true" outlineLevel="0" collapsed="false">
      <c r="B8" s="9" t="str">
        <f aca="false">DATI_BIA!B8</f>
        <v>Perdita Ricavi Giornalieri</v>
      </c>
      <c r="C8" s="10" t="str">
        <f aca="false">DATI_BIA!D8</f>
        <v>€ 000</v>
      </c>
      <c r="D8" s="8" t="n">
        <f aca="false">DATI_BIA!F8</f>
        <v>80</v>
      </c>
      <c r="E8" s="11" t="n">
        <f aca="false">DATI_BIA!G8</f>
        <v>350</v>
      </c>
      <c r="F8" s="11" t="n">
        <f aca="false">DATI_BIA!E8</f>
        <v>20</v>
      </c>
      <c r="G8" s="16" t="n">
        <f aca="false">E8-D8</f>
        <v>270</v>
      </c>
      <c r="H8" s="17" t="n">
        <f aca="false">D8-F8</f>
        <v>60</v>
      </c>
      <c r="I8" s="18" t="n">
        <f aca="false">E8-F8</f>
        <v>330</v>
      </c>
      <c r="J8" s="19" t="n">
        <f aca="false">IF(D8&lt;&gt;0,(E8-D8)/D8,0)</f>
        <v>3.375</v>
      </c>
    </row>
    <row r="9" customFormat="false" ht="19.5" hidden="false" customHeight="true" outlineLevel="0" collapsed="false">
      <c r="B9" s="5" t="str">
        <f aca="false">DATI_BIA!B9</f>
        <v>Costo Personale Extra (Recovery)</v>
      </c>
      <c r="C9" s="6" t="str">
        <f aca="false">DATI_BIA!D9</f>
        <v>€ 000</v>
      </c>
      <c r="D9" s="8" t="n">
        <f aca="false">DATI_BIA!F9</f>
        <v>30</v>
      </c>
      <c r="E9" s="7" t="n">
        <f aca="false">DATI_BIA!G9</f>
        <v>120</v>
      </c>
      <c r="F9" s="7" t="n">
        <f aca="false">DATI_BIA!E9</f>
        <v>5</v>
      </c>
      <c r="G9" s="12" t="n">
        <f aca="false">E9-D9</f>
        <v>90</v>
      </c>
      <c r="H9" s="13" t="n">
        <f aca="false">D9-F9</f>
        <v>25</v>
      </c>
      <c r="I9" s="14" t="n">
        <f aca="false">E9-F9</f>
        <v>115</v>
      </c>
      <c r="J9" s="15" t="n">
        <f aca="false">IF(D9&lt;&gt;0,(E9-D9)/D9,0)</f>
        <v>3</v>
      </c>
    </row>
    <row r="10" customFormat="false" ht="19.5" hidden="false" customHeight="true" outlineLevel="0" collapsed="false">
      <c r="B10" s="9" t="str">
        <f aca="false">DATI_BIA!B10</f>
        <v>Penali Contrattuali Clienti</v>
      </c>
      <c r="C10" s="10" t="str">
        <f aca="false">DATI_BIA!D10</f>
        <v>€ 000</v>
      </c>
      <c r="D10" s="8" t="n">
        <f aca="false">DATI_BIA!F10</f>
        <v>25</v>
      </c>
      <c r="E10" s="11" t="n">
        <f aca="false">DATI_BIA!G10</f>
        <v>150</v>
      </c>
      <c r="F10" s="11" t="n">
        <f aca="false">DATI_BIA!E10</f>
        <v>0</v>
      </c>
      <c r="G10" s="16" t="n">
        <f aca="false">E10-D10</f>
        <v>125</v>
      </c>
      <c r="H10" s="17" t="n">
        <f aca="false">D10-F10</f>
        <v>25</v>
      </c>
      <c r="I10" s="18" t="n">
        <f aca="false">E10-F10</f>
        <v>150</v>
      </c>
      <c r="J10" s="19" t="n">
        <f aca="false">IF(D10&lt;&gt;0,(E10-D10)/D10,0)</f>
        <v>5</v>
      </c>
    </row>
    <row r="11" customFormat="false" ht="19.5" hidden="false" customHeight="true" outlineLevel="0" collapsed="false">
      <c r="B11" s="5" t="str">
        <f aca="false">DATI_BIA!B11</f>
        <v>Danni Reputazionali (NPS drop)</v>
      </c>
      <c r="C11" s="6" t="str">
        <f aca="false">DATI_BIA!D11</f>
        <v>Punti NPS</v>
      </c>
      <c r="D11" s="8" t="n">
        <f aca="false">DATI_BIA!F11</f>
        <v>8</v>
      </c>
      <c r="E11" s="7" t="n">
        <f aca="false">DATI_BIA!G11</f>
        <v>25</v>
      </c>
      <c r="F11" s="7" t="n">
        <f aca="false">DATI_BIA!E11</f>
        <v>2</v>
      </c>
      <c r="G11" s="12" t="n">
        <f aca="false">E11-D11</f>
        <v>17</v>
      </c>
      <c r="H11" s="13" t="n">
        <f aca="false">D11-F11</f>
        <v>6</v>
      </c>
      <c r="I11" s="14" t="n">
        <f aca="false">E11-F11</f>
        <v>23</v>
      </c>
      <c r="J11" s="15" t="n">
        <f aca="false">IF(D11&lt;&gt;0,(E11-D11)/D11,0)</f>
        <v>2.125</v>
      </c>
    </row>
    <row r="12" customFormat="false" ht="19.5" hidden="false" customHeight="true" outlineLevel="0" collapsed="false">
      <c r="B12" s="9" t="str">
        <f aca="false">DATI_BIA!B12</f>
        <v>Clienti a Rischio Churn</v>
      </c>
      <c r="C12" s="10" t="str">
        <f aca="false">DATI_BIA!D12</f>
        <v>N° clienti</v>
      </c>
      <c r="D12" s="8" t="n">
        <f aca="false">DATI_BIA!F12</f>
        <v>30</v>
      </c>
      <c r="E12" s="11" t="n">
        <f aca="false">DATI_BIA!G12</f>
        <v>120</v>
      </c>
      <c r="F12" s="11" t="n">
        <f aca="false">DATI_BIA!E12</f>
        <v>5</v>
      </c>
      <c r="G12" s="16" t="n">
        <f aca="false">E12-D12</f>
        <v>90</v>
      </c>
      <c r="H12" s="17" t="n">
        <f aca="false">D12-F12</f>
        <v>25</v>
      </c>
      <c r="I12" s="18" t="n">
        <f aca="false">E12-F12</f>
        <v>115</v>
      </c>
      <c r="J12" s="19" t="n">
        <f aca="false">IF(D12&lt;&gt;0,(E12-D12)/D12,0)</f>
        <v>3</v>
      </c>
    </row>
    <row r="13" customFormat="false" ht="19.5" hidden="false" customHeight="true" outlineLevel="0" collapsed="false">
      <c r="B13" s="5" t="str">
        <f aca="false">DATI_BIA!B13</f>
        <v>Tempo di Recovery (RTO effettivo)</v>
      </c>
      <c r="C13" s="6" t="str">
        <f aca="false">DATI_BIA!D13</f>
        <v>Ore</v>
      </c>
      <c r="D13" s="8" t="n">
        <f aca="false">DATI_BIA!F13</f>
        <v>12</v>
      </c>
      <c r="E13" s="7" t="n">
        <f aca="false">DATI_BIA!G13</f>
        <v>72</v>
      </c>
      <c r="F13" s="7" t="n">
        <f aca="false">DATI_BIA!E13</f>
        <v>4</v>
      </c>
      <c r="G13" s="12" t="n">
        <f aca="false">E13-D13</f>
        <v>60</v>
      </c>
      <c r="H13" s="13" t="n">
        <f aca="false">D13-F13</f>
        <v>8</v>
      </c>
      <c r="I13" s="14" t="n">
        <f aca="false">E13-F13</f>
        <v>68</v>
      </c>
      <c r="J13" s="15" t="n">
        <f aca="false">IF(D13&lt;&gt;0,(E13-D13)/D13,0)</f>
        <v>5</v>
      </c>
    </row>
    <row r="14" customFormat="false" ht="19.5" hidden="false" customHeight="true" outlineLevel="0" collapsed="false">
      <c r="B14" s="9" t="str">
        <f aca="false">DATI_BIA!B14</f>
        <v>Perdita Dati (RPO effettivo)</v>
      </c>
      <c r="C14" s="10" t="str">
        <f aca="false">DATI_BIA!D14</f>
        <v>Ore dati</v>
      </c>
      <c r="D14" s="8" t="n">
        <f aca="false">DATI_BIA!F14</f>
        <v>4</v>
      </c>
      <c r="E14" s="11" t="n">
        <f aca="false">DATI_BIA!G14</f>
        <v>24</v>
      </c>
      <c r="F14" s="11" t="n">
        <f aca="false">DATI_BIA!E14</f>
        <v>0</v>
      </c>
      <c r="G14" s="16" t="n">
        <f aca="false">E14-D14</f>
        <v>20</v>
      </c>
      <c r="H14" s="17" t="n">
        <f aca="false">D14-F14</f>
        <v>4</v>
      </c>
      <c r="I14" s="18" t="n">
        <f aca="false">E14-F14</f>
        <v>24</v>
      </c>
      <c r="J14" s="19" t="n">
        <f aca="false">IF(D14&lt;&gt;0,(E14-D14)/D14,0)</f>
        <v>5</v>
      </c>
    </row>
    <row r="15" customFormat="false" ht="19.5" hidden="false" customHeight="true" outlineLevel="0" collapsed="false">
      <c r="B15" s="5" t="str">
        <f aca="false">DATI_BIA!B15</f>
        <v>Costo Notifiche Regolamentari</v>
      </c>
      <c r="C15" s="6" t="str">
        <f aca="false">DATI_BIA!D15</f>
        <v>€ 000</v>
      </c>
      <c r="D15" s="8" t="n">
        <f aca="false">DATI_BIA!F15</f>
        <v>15</v>
      </c>
      <c r="E15" s="7" t="n">
        <f aca="false">DATI_BIA!G15</f>
        <v>80</v>
      </c>
      <c r="F15" s="7" t="n">
        <f aca="false">DATI_BIA!E15</f>
        <v>0</v>
      </c>
      <c r="G15" s="12" t="n">
        <f aca="false">E15-D15</f>
        <v>65</v>
      </c>
      <c r="H15" s="13" t="n">
        <f aca="false">D15-F15</f>
        <v>15</v>
      </c>
      <c r="I15" s="14" t="n">
        <f aca="false">E15-F15</f>
        <v>80</v>
      </c>
      <c r="J15" s="15" t="n">
        <f aca="false">IF(D15&lt;&gt;0,(E15-D15)/D15,0)</f>
        <v>4.33333333333333</v>
      </c>
    </row>
    <row r="16" customFormat="false" ht="19.5" hidden="false" customHeight="true" outlineLevel="0" collapsed="false">
      <c r="B16" s="9" t="str">
        <f aca="false">DATI_BIA!B16</f>
        <v>Impatto su SLA Erogazione Servizi</v>
      </c>
      <c r="C16" s="10" t="str">
        <f aca="false">DATI_BIA!D16</f>
        <v>% SLA miss</v>
      </c>
      <c r="D16" s="8" t="n">
        <f aca="false">DATI_BIA!F16</f>
        <v>5</v>
      </c>
      <c r="E16" s="11" t="n">
        <f aca="false">DATI_BIA!G16</f>
        <v>20</v>
      </c>
      <c r="F16" s="11" t="n">
        <f aca="false">DATI_BIA!E16</f>
        <v>1</v>
      </c>
      <c r="G16" s="16" t="n">
        <f aca="false">E16-D16</f>
        <v>15</v>
      </c>
      <c r="H16" s="17" t="n">
        <f aca="false">D16-F16</f>
        <v>4</v>
      </c>
      <c r="I16" s="18" t="n">
        <f aca="false">E16-F16</f>
        <v>19</v>
      </c>
      <c r="J16" s="19" t="n">
        <f aca="false">IF(D16&lt;&gt;0,(E16-D16)/D16,0)</f>
        <v>3</v>
      </c>
    </row>
    <row r="18" customFormat="false" ht="21.75" hidden="false" customHeight="true" outlineLevel="0" collapsed="false">
      <c r="B18" s="20" t="s">
        <v>56</v>
      </c>
      <c r="C18" s="20"/>
      <c r="G18" s="21" t="n">
        <f aca="false">SUM(G5:G16)</f>
        <v>1412</v>
      </c>
      <c r="H18" s="21" t="n">
        <f aca="false">SUM(H5:H16)</f>
        <v>332</v>
      </c>
      <c r="I18" s="21" t="n">
        <f aca="false">SUM(I5:I16)</f>
        <v>1744</v>
      </c>
    </row>
  </sheetData>
  <mergeCells count="3">
    <mergeCell ref="B2:J2"/>
    <mergeCell ref="B3:J3"/>
    <mergeCell ref="B18:C18"/>
  </mergeCells>
  <conditionalFormatting sqref="I5:I16">
    <cfRule type="colorScale" priority="2">
      <colorScale>
        <cfvo type="min" val="0"/>
        <cfvo type="max" val="0"/>
        <color rgb="FFBCE2E7"/>
        <color rgb="FFA135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3544"/>
    <pageSetUpPr fitToPage="false"/>
  </sheetPr>
  <dimension ref="B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8"/>
    <col collapsed="false" customWidth="true" hidden="false" outlineLevel="0" max="6" min="6" style="1" width="10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2" t="s">
        <v>57</v>
      </c>
      <c r="C2" s="2"/>
      <c r="D2" s="2"/>
      <c r="E2" s="2"/>
      <c r="F2" s="2"/>
    </row>
    <row r="3" customFormat="false" ht="18" hidden="false" customHeight="true" outlineLevel="0" collapsed="false">
      <c r="B3" s="3" t="s">
        <v>58</v>
      </c>
      <c r="C3" s="3"/>
      <c r="D3" s="3"/>
      <c r="E3" s="3"/>
      <c r="F3" s="3"/>
    </row>
    <row r="4" customFormat="false" ht="18" hidden="false" customHeight="true" outlineLevel="0" collapsed="false">
      <c r="B4" s="3" t="s">
        <v>59</v>
      </c>
      <c r="C4" s="3"/>
      <c r="D4" s="3"/>
      <c r="E4" s="3"/>
      <c r="F4" s="3"/>
    </row>
    <row r="5" customFormat="false" ht="36" hidden="false" customHeight="true" outlineLevel="0" collapsed="false">
      <c r="B5" s="4" t="s">
        <v>60</v>
      </c>
      <c r="C5" s="4" t="s">
        <v>61</v>
      </c>
      <c r="D5" s="4" t="s">
        <v>62</v>
      </c>
      <c r="E5" s="4" t="s">
        <v>63</v>
      </c>
      <c r="F5" s="4" t="s">
        <v>64</v>
      </c>
    </row>
    <row r="6" customFormat="false" ht="21.75" hidden="false" customHeight="true" outlineLevel="0" collapsed="false">
      <c r="B6" s="22" t="str">
        <f aca="false">INDEX(CALCOLI!B$5:B$16,MATCH(LARGE(CALCOLI!I$5:I$16,1),CALCOLI!I$5:I$16,0))</f>
        <v>Costo Ripristino Infrastruttura</v>
      </c>
      <c r="C6" s="16" t="n">
        <f aca="false">INDEX(CALCOLI!G$5:G$16,MATCH(LARGE(CALCOLI!I$5:I$16,1),CALCOLI!I$5:I$16,0))</f>
        <v>600</v>
      </c>
      <c r="D6" s="17" t="n">
        <f aca="false">INDEX(CALCOLI!H$5:H$16,MATCH(LARGE(CALCOLI!I$5:I$16,1),CALCOLI!I$5:I$16,0))</f>
        <v>150</v>
      </c>
      <c r="E6" s="23" t="n">
        <f aca="false">INDEX(CALCOLI!I$5:I$16,MATCH(LARGE(CALCOLI!I$5:I$16,1),CALCOLI!I$5:I$16,0))</f>
        <v>750</v>
      </c>
      <c r="F6" s="24" t="n">
        <v>1</v>
      </c>
    </row>
    <row r="7" customFormat="false" ht="21.75" hidden="false" customHeight="true" outlineLevel="0" collapsed="false">
      <c r="B7" s="25" t="str">
        <f aca="false">INDEX(CALCOLI!B$5:B$16,MATCH(LARGE(CALCOLI!I$5:I$16,2),CALCOLI!I$5:I$16,0))</f>
        <v>Perdita Ricavi Giornalieri</v>
      </c>
      <c r="C7" s="12" t="n">
        <f aca="false">INDEX(CALCOLI!G$5:G$16,MATCH(LARGE(CALCOLI!I$5:I$16,2),CALCOLI!I$5:I$16,0))</f>
        <v>270</v>
      </c>
      <c r="D7" s="13" t="n">
        <f aca="false">INDEX(CALCOLI!H$5:H$16,MATCH(LARGE(CALCOLI!I$5:I$16,2),CALCOLI!I$5:I$16,0))</f>
        <v>60</v>
      </c>
      <c r="E7" s="26" t="n">
        <f aca="false">INDEX(CALCOLI!I$5:I$16,MATCH(LARGE(CALCOLI!I$5:I$16,2),CALCOLI!I$5:I$16,0))</f>
        <v>330</v>
      </c>
      <c r="F7" s="27" t="n">
        <v>2</v>
      </c>
    </row>
    <row r="8" customFormat="false" ht="21.75" hidden="false" customHeight="true" outlineLevel="0" collapsed="false">
      <c r="B8" s="22" t="str">
        <f aca="false">INDEX(CALCOLI!B$5:B$16,MATCH(LARGE(CALCOLI!I$5:I$16,3),CALCOLI!I$5:I$16,0))</f>
        <v>Penali Contrattuali Clienti</v>
      </c>
      <c r="C8" s="16" t="n">
        <f aca="false">INDEX(CALCOLI!G$5:G$16,MATCH(LARGE(CALCOLI!I$5:I$16,3),CALCOLI!I$5:I$16,0))</f>
        <v>125</v>
      </c>
      <c r="D8" s="17" t="n">
        <f aca="false">INDEX(CALCOLI!H$5:H$16,MATCH(LARGE(CALCOLI!I$5:I$16,3),CALCOLI!I$5:I$16,0))</f>
        <v>25</v>
      </c>
      <c r="E8" s="23" t="n">
        <f aca="false">INDEX(CALCOLI!I$5:I$16,MATCH(LARGE(CALCOLI!I$5:I$16,3),CALCOLI!I$5:I$16,0))</f>
        <v>150</v>
      </c>
      <c r="F8" s="24" t="n">
        <v>3</v>
      </c>
    </row>
    <row r="9" customFormat="false" ht="21.75" hidden="false" customHeight="true" outlineLevel="0" collapsed="false">
      <c r="B9" s="28" t="str">
        <f aca="false">INDEX(CALCOLI!B$5:B$16,MATCH(LARGE(CALCOLI!I$5:I$16,4),CALCOLI!I$5:I$16,0))</f>
        <v>Costo Personale Extra (Recovery)</v>
      </c>
      <c r="C9" s="12" t="n">
        <f aca="false">INDEX(CALCOLI!G$5:G$16,MATCH(LARGE(CALCOLI!I$5:I$16,4),CALCOLI!I$5:I$16,0))</f>
        <v>90</v>
      </c>
      <c r="D9" s="13" t="n">
        <f aca="false">INDEX(CALCOLI!H$5:H$16,MATCH(LARGE(CALCOLI!I$5:I$16,4),CALCOLI!I$5:I$16,0))</f>
        <v>25</v>
      </c>
      <c r="E9" s="26" t="n">
        <f aca="false">INDEX(CALCOLI!I$5:I$16,MATCH(LARGE(CALCOLI!I$5:I$16,4),CALCOLI!I$5:I$16,0))</f>
        <v>115</v>
      </c>
      <c r="F9" s="27" t="n">
        <v>4</v>
      </c>
    </row>
    <row r="10" customFormat="false" ht="21.75" hidden="false" customHeight="true" outlineLevel="0" collapsed="false">
      <c r="B10" s="29" t="str">
        <f aca="false">INDEX(CALCOLI!B$5:B$16,MATCH(LARGE(CALCOLI!I$5:I$16,5),CALCOLI!I$5:I$16,0))</f>
        <v>Costo Personale Extra (Recovery)</v>
      </c>
      <c r="C10" s="16" t="n">
        <f aca="false">INDEX(CALCOLI!G$5:G$16,MATCH(LARGE(CALCOLI!I$5:I$16,5),CALCOLI!I$5:I$16,0))</f>
        <v>90</v>
      </c>
      <c r="D10" s="17" t="n">
        <f aca="false">INDEX(CALCOLI!H$5:H$16,MATCH(LARGE(CALCOLI!I$5:I$16,5),CALCOLI!I$5:I$16,0))</f>
        <v>25</v>
      </c>
      <c r="E10" s="23" t="n">
        <f aca="false">INDEX(CALCOLI!I$5:I$16,MATCH(LARGE(CALCOLI!I$5:I$16,5),CALCOLI!I$5:I$16,0))</f>
        <v>115</v>
      </c>
      <c r="F10" s="24" t="n">
        <v>5</v>
      </c>
    </row>
    <row r="11" customFormat="false" ht="21.75" hidden="false" customHeight="true" outlineLevel="0" collapsed="false">
      <c r="B11" s="28" t="str">
        <f aca="false">INDEX(CALCOLI!B$5:B$16,MATCH(LARGE(CALCOLI!I$5:I$16,6),CALCOLI!I$5:I$16,0))</f>
        <v>Costo Notifiche Regolamentari</v>
      </c>
      <c r="C11" s="12" t="n">
        <f aca="false">INDEX(CALCOLI!G$5:G$16,MATCH(LARGE(CALCOLI!I$5:I$16,6),CALCOLI!I$5:I$16,0))</f>
        <v>65</v>
      </c>
      <c r="D11" s="13" t="n">
        <f aca="false">INDEX(CALCOLI!H$5:H$16,MATCH(LARGE(CALCOLI!I$5:I$16,6),CALCOLI!I$5:I$16,0))</f>
        <v>15</v>
      </c>
      <c r="E11" s="26" t="n">
        <f aca="false">INDEX(CALCOLI!I$5:I$16,MATCH(LARGE(CALCOLI!I$5:I$16,6),CALCOLI!I$5:I$16,0))</f>
        <v>80</v>
      </c>
      <c r="F11" s="27" t="n">
        <v>6</v>
      </c>
    </row>
    <row r="12" customFormat="false" ht="21.75" hidden="false" customHeight="true" outlineLevel="0" collapsed="false">
      <c r="B12" s="29" t="str">
        <f aca="false">INDEX(CALCOLI!B$5:B$16,MATCH(LARGE(CALCOLI!I$5:I$16,7),CALCOLI!I$5:I$16,0))</f>
        <v>Tempo di Recovery (RTO effettivo)</v>
      </c>
      <c r="C12" s="16" t="n">
        <f aca="false">INDEX(CALCOLI!G$5:G$16,MATCH(LARGE(CALCOLI!I$5:I$16,7),CALCOLI!I$5:I$16,0))</f>
        <v>60</v>
      </c>
      <c r="D12" s="17" t="n">
        <f aca="false">INDEX(CALCOLI!H$5:H$16,MATCH(LARGE(CALCOLI!I$5:I$16,7),CALCOLI!I$5:I$16,0))</f>
        <v>8</v>
      </c>
      <c r="E12" s="23" t="n">
        <f aca="false">INDEX(CALCOLI!I$5:I$16,MATCH(LARGE(CALCOLI!I$5:I$16,7),CALCOLI!I$5:I$16,0))</f>
        <v>68</v>
      </c>
      <c r="F12" s="24" t="n">
        <v>7</v>
      </c>
    </row>
    <row r="13" customFormat="false" ht="21.75" hidden="false" customHeight="true" outlineLevel="0" collapsed="false">
      <c r="B13" s="28" t="str">
        <f aca="false">INDEX(CALCOLI!B$5:B$16,MATCH(LARGE(CALCOLI!I$5:I$16,8),CALCOLI!I$5:I$16,0))</f>
        <v>Downtime Sistema IT Primario</v>
      </c>
      <c r="C13" s="12" t="n">
        <f aca="false">INDEX(CALCOLI!G$5:G$16,MATCH(LARGE(CALCOLI!I$5:I$16,8),CALCOLI!I$5:I$16,0))</f>
        <v>40</v>
      </c>
      <c r="D13" s="13" t="n">
        <f aca="false">INDEX(CALCOLI!H$5:H$16,MATCH(LARGE(CALCOLI!I$5:I$16,8),CALCOLI!I$5:I$16,0))</f>
        <v>6</v>
      </c>
      <c r="E13" s="26" t="n">
        <f aca="false">INDEX(CALCOLI!I$5:I$16,MATCH(LARGE(CALCOLI!I$5:I$16,8),CALCOLI!I$5:I$16,0))</f>
        <v>46</v>
      </c>
      <c r="F13" s="27" t="n">
        <v>8</v>
      </c>
    </row>
    <row r="14" customFormat="false" ht="21.75" hidden="false" customHeight="true" outlineLevel="0" collapsed="false">
      <c r="B14" s="29" t="str">
        <f aca="false">INDEX(CALCOLI!B$5:B$16,MATCH(LARGE(CALCOLI!I$5:I$16,9),CALCOLI!I$5:I$16,0))</f>
        <v>Downtime Sistema di Backup</v>
      </c>
      <c r="C14" s="16" t="n">
        <f aca="false">INDEX(CALCOLI!G$5:G$16,MATCH(LARGE(CALCOLI!I$5:I$16,9),CALCOLI!I$5:I$16,0))</f>
        <v>20</v>
      </c>
      <c r="D14" s="17" t="n">
        <f aca="false">INDEX(CALCOLI!H$5:H$16,MATCH(LARGE(CALCOLI!I$5:I$16,9),CALCOLI!I$5:I$16,0))</f>
        <v>4</v>
      </c>
      <c r="E14" s="23" t="n">
        <f aca="false">INDEX(CALCOLI!I$5:I$16,MATCH(LARGE(CALCOLI!I$5:I$16,9),CALCOLI!I$5:I$16,0))</f>
        <v>24</v>
      </c>
      <c r="F14" s="24" t="n">
        <v>9</v>
      </c>
    </row>
    <row r="15" customFormat="false" ht="21.75" hidden="false" customHeight="true" outlineLevel="0" collapsed="false">
      <c r="B15" s="28" t="str">
        <f aca="false">INDEX(CALCOLI!B$5:B$16,MATCH(LARGE(CALCOLI!I$5:I$16,10),CALCOLI!I$5:I$16,0))</f>
        <v>Downtime Sistema di Backup</v>
      </c>
      <c r="C15" s="12" t="n">
        <f aca="false">INDEX(CALCOLI!G$5:G$16,MATCH(LARGE(CALCOLI!I$5:I$16,10),CALCOLI!I$5:I$16,0))</f>
        <v>20</v>
      </c>
      <c r="D15" s="13" t="n">
        <f aca="false">INDEX(CALCOLI!H$5:H$16,MATCH(LARGE(CALCOLI!I$5:I$16,10),CALCOLI!I$5:I$16,0))</f>
        <v>4</v>
      </c>
      <c r="E15" s="26" t="n">
        <f aca="false">INDEX(CALCOLI!I$5:I$16,MATCH(LARGE(CALCOLI!I$5:I$16,10),CALCOLI!I$5:I$16,0))</f>
        <v>24</v>
      </c>
      <c r="F15" s="27" t="n">
        <v>10</v>
      </c>
    </row>
    <row r="16" customFormat="false" ht="21.75" hidden="false" customHeight="true" outlineLevel="0" collapsed="false">
      <c r="B16" s="29" t="str">
        <f aca="false">INDEX(CALCOLI!B$5:B$16,MATCH(LARGE(CALCOLI!I$5:I$16,11),CALCOLI!I$5:I$16,0))</f>
        <v>Danni Reputazionali (NPS drop)</v>
      </c>
      <c r="C16" s="16" t="n">
        <f aca="false">INDEX(CALCOLI!G$5:G$16,MATCH(LARGE(CALCOLI!I$5:I$16,11),CALCOLI!I$5:I$16,0))</f>
        <v>17</v>
      </c>
      <c r="D16" s="17" t="n">
        <f aca="false">INDEX(CALCOLI!H$5:H$16,MATCH(LARGE(CALCOLI!I$5:I$16,11),CALCOLI!I$5:I$16,0))</f>
        <v>6</v>
      </c>
      <c r="E16" s="23" t="n">
        <f aca="false">INDEX(CALCOLI!I$5:I$16,MATCH(LARGE(CALCOLI!I$5:I$16,11),CALCOLI!I$5:I$16,0))</f>
        <v>23</v>
      </c>
      <c r="F16" s="24" t="n">
        <v>11</v>
      </c>
    </row>
    <row r="17" customFormat="false" ht="21.75" hidden="false" customHeight="true" outlineLevel="0" collapsed="false">
      <c r="B17" s="28" t="str">
        <f aca="false">INDEX(CALCOLI!B$5:B$16,MATCH(LARGE(CALCOLI!I$5:I$16,12),CALCOLI!I$5:I$16,0))</f>
        <v>Impatto su SLA Erogazione Servizi</v>
      </c>
      <c r="C17" s="12" t="n">
        <f aca="false">INDEX(CALCOLI!G$5:G$16,MATCH(LARGE(CALCOLI!I$5:I$16,12),CALCOLI!I$5:I$16,0))</f>
        <v>15</v>
      </c>
      <c r="D17" s="13" t="n">
        <f aca="false">INDEX(CALCOLI!H$5:H$16,MATCH(LARGE(CALCOLI!I$5:I$16,12),CALCOLI!I$5:I$16,0))</f>
        <v>4</v>
      </c>
      <c r="E17" s="26" t="n">
        <f aca="false">INDEX(CALCOLI!I$5:I$16,MATCH(LARGE(CALCOLI!I$5:I$16,12),CALCOLI!I$5:I$16,0))</f>
        <v>19</v>
      </c>
      <c r="F17" s="27" t="n">
        <v>12</v>
      </c>
    </row>
  </sheetData>
  <mergeCells count="3">
    <mergeCell ref="B2:F2"/>
    <mergeCell ref="B3:F3"/>
    <mergeCell ref="B4:F4"/>
  </mergeCells>
  <conditionalFormatting sqref="E6:E17">
    <cfRule type="colorScale" priority="2">
      <colorScale>
        <cfvo type="min" val="0"/>
        <cfvo type="max" val="0"/>
        <color rgb="FFBCE2E7"/>
        <color rgb="FFA135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74D"/>
    <pageSetUpPr fitToPage="false"/>
  </sheetPr>
  <dimension ref="B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55"/>
    <col collapsed="false" customWidth="true" hidden="false" outlineLevel="0" max="4" min="4" style="1" width="38"/>
  </cols>
  <sheetData>
    <row r="1" customFormat="false" ht="9.75" hidden="false" customHeight="true" outlineLevel="0" collapsed="false"/>
    <row r="2" customFormat="false" ht="37.5" hidden="false" customHeight="true" outlineLevel="0" collapsed="false">
      <c r="B2" s="2" t="s">
        <v>65</v>
      </c>
      <c r="C2" s="2"/>
      <c r="D2" s="2"/>
    </row>
    <row r="3" customFormat="false" ht="18" hidden="false" customHeight="true" outlineLevel="0" collapsed="false">
      <c r="B3" s="3" t="s">
        <v>66</v>
      </c>
      <c r="C3" s="3"/>
      <c r="D3" s="3"/>
    </row>
    <row r="5" customFormat="false" ht="25.5" hidden="false" customHeight="true" outlineLevel="0" collapsed="false">
      <c r="B5" s="30" t="s">
        <v>67</v>
      </c>
      <c r="C5" s="30"/>
      <c r="D5" s="30"/>
    </row>
    <row r="6" customFormat="false" ht="27.75" hidden="false" customHeight="true" outlineLevel="0" collapsed="false">
      <c r="B6" s="31" t="s">
        <v>68</v>
      </c>
      <c r="C6" s="32" t="s">
        <v>69</v>
      </c>
      <c r="D6" s="33" t="s">
        <v>70</v>
      </c>
    </row>
    <row r="7" customFormat="false" ht="27.75" hidden="false" customHeight="true" outlineLevel="0" collapsed="false">
      <c r="B7" s="34" t="s">
        <v>71</v>
      </c>
      <c r="C7" s="35" t="s">
        <v>72</v>
      </c>
      <c r="D7" s="36" t="s">
        <v>73</v>
      </c>
    </row>
    <row r="8" customFormat="false" ht="27.75" hidden="false" customHeight="true" outlineLevel="0" collapsed="false">
      <c r="B8" s="31" t="s">
        <v>74</v>
      </c>
      <c r="C8" s="32" t="s">
        <v>75</v>
      </c>
      <c r="D8" s="33" t="s">
        <v>76</v>
      </c>
    </row>
    <row r="9" customFormat="false" ht="27.75" hidden="false" customHeight="true" outlineLevel="0" collapsed="false">
      <c r="B9" s="34" t="s">
        <v>77</v>
      </c>
      <c r="C9" s="35" t="s">
        <v>78</v>
      </c>
      <c r="D9" s="36" t="s">
        <v>79</v>
      </c>
    </row>
    <row r="11" customFormat="false" ht="25.5" hidden="false" customHeight="true" outlineLevel="0" collapsed="false">
      <c r="B11" s="30" t="s">
        <v>80</v>
      </c>
      <c r="C11" s="30"/>
      <c r="D11" s="30"/>
    </row>
    <row r="12" customFormat="false" ht="30" hidden="false" customHeight="true" outlineLevel="0" collapsed="false">
      <c r="B12" s="31" t="s">
        <v>68</v>
      </c>
      <c r="C12" s="32" t="s">
        <v>81</v>
      </c>
      <c r="D12" s="33" t="s">
        <v>82</v>
      </c>
    </row>
    <row r="13" customFormat="false" ht="30" hidden="false" customHeight="true" outlineLevel="0" collapsed="false">
      <c r="B13" s="34" t="s">
        <v>71</v>
      </c>
      <c r="C13" s="35" t="s">
        <v>83</v>
      </c>
      <c r="D13" s="36" t="s">
        <v>84</v>
      </c>
    </row>
    <row r="14" customFormat="false" ht="30" hidden="false" customHeight="true" outlineLevel="0" collapsed="false">
      <c r="B14" s="31" t="s">
        <v>74</v>
      </c>
      <c r="C14" s="32" t="s">
        <v>85</v>
      </c>
      <c r="D14" s="33" t="s">
        <v>86</v>
      </c>
    </row>
    <row r="15" customFormat="false" ht="30" hidden="false" customHeight="true" outlineLevel="0" collapsed="false">
      <c r="B15" s="34" t="s">
        <v>77</v>
      </c>
      <c r="C15" s="35" t="s">
        <v>87</v>
      </c>
      <c r="D15" s="36" t="s">
        <v>88</v>
      </c>
    </row>
    <row r="16" customFormat="false" ht="30" hidden="false" customHeight="true" outlineLevel="0" collapsed="false">
      <c r="B16" s="31" t="s">
        <v>89</v>
      </c>
      <c r="C16" s="32" t="s">
        <v>90</v>
      </c>
      <c r="D16" s="33" t="s">
        <v>91</v>
      </c>
    </row>
    <row r="17" customFormat="false" ht="30" hidden="false" customHeight="true" outlineLevel="0" collapsed="false">
      <c r="B17" s="34" t="s">
        <v>92</v>
      </c>
      <c r="C17" s="35" t="s">
        <v>93</v>
      </c>
      <c r="D17" s="36" t="s">
        <v>94</v>
      </c>
    </row>
    <row r="19" customFormat="false" ht="25.5" hidden="false" customHeight="true" outlineLevel="0" collapsed="false">
      <c r="B19" s="37" t="s">
        <v>95</v>
      </c>
      <c r="C19" s="37"/>
      <c r="D19" s="37"/>
    </row>
    <row r="20" customFormat="false" ht="27.75" hidden="false" customHeight="true" outlineLevel="0" collapsed="false">
      <c r="B20" s="31" t="s">
        <v>96</v>
      </c>
      <c r="C20" s="32" t="s">
        <v>97</v>
      </c>
      <c r="D20" s="33" t="s">
        <v>98</v>
      </c>
    </row>
    <row r="21" customFormat="false" ht="27.75" hidden="false" customHeight="true" outlineLevel="0" collapsed="false">
      <c r="B21" s="34" t="s">
        <v>99</v>
      </c>
      <c r="C21" s="35" t="s">
        <v>100</v>
      </c>
      <c r="D21" s="33" t="s">
        <v>101</v>
      </c>
    </row>
    <row r="22" customFormat="false" ht="27.75" hidden="false" customHeight="true" outlineLevel="0" collapsed="false">
      <c r="B22" s="31" t="s">
        <v>99</v>
      </c>
      <c r="C22" s="32" t="s">
        <v>102</v>
      </c>
      <c r="D22" s="36" t="s">
        <v>103</v>
      </c>
    </row>
    <row r="23" customFormat="false" ht="27.75" hidden="false" customHeight="true" outlineLevel="0" collapsed="false">
      <c r="B23" s="34" t="s">
        <v>104</v>
      </c>
      <c r="C23" s="35" t="s">
        <v>63</v>
      </c>
      <c r="D23" s="33" t="s">
        <v>105</v>
      </c>
    </row>
    <row r="24" customFormat="false" ht="27.75" hidden="false" customHeight="true" outlineLevel="0" collapsed="false">
      <c r="B24" s="31" t="s">
        <v>106</v>
      </c>
      <c r="C24" s="32" t="s">
        <v>107</v>
      </c>
      <c r="D24" s="33" t="s">
        <v>108</v>
      </c>
    </row>
    <row r="26" customFormat="false" ht="25.5" hidden="false" customHeight="true" outlineLevel="0" collapsed="false">
      <c r="B26" s="30" t="s">
        <v>109</v>
      </c>
      <c r="C26" s="30"/>
      <c r="D26" s="30"/>
    </row>
    <row r="27" customFormat="false" ht="30" hidden="false" customHeight="true" outlineLevel="0" collapsed="false">
      <c r="B27" s="31" t="s">
        <v>110</v>
      </c>
      <c r="C27" s="32" t="s">
        <v>111</v>
      </c>
      <c r="D27" s="33" t="s">
        <v>112</v>
      </c>
    </row>
    <row r="28" customFormat="false" ht="30" hidden="false" customHeight="true" outlineLevel="0" collapsed="false">
      <c r="B28" s="34" t="s">
        <v>110</v>
      </c>
      <c r="C28" s="35" t="s">
        <v>113</v>
      </c>
      <c r="D28" s="36" t="s">
        <v>114</v>
      </c>
    </row>
    <row r="29" customFormat="false" ht="30" hidden="false" customHeight="true" outlineLevel="0" collapsed="false">
      <c r="B29" s="31" t="s">
        <v>110</v>
      </c>
      <c r="C29" s="32" t="s">
        <v>115</v>
      </c>
      <c r="D29" s="33" t="s">
        <v>116</v>
      </c>
    </row>
    <row r="30" customFormat="false" ht="30" hidden="false" customHeight="true" outlineLevel="0" collapsed="false">
      <c r="B30" s="34" t="s">
        <v>110</v>
      </c>
      <c r="C30" s="35" t="s">
        <v>117</v>
      </c>
      <c r="D30" s="36" t="s">
        <v>118</v>
      </c>
    </row>
    <row r="31" customFormat="false" ht="30" hidden="false" customHeight="true" outlineLevel="0" collapsed="false">
      <c r="B31" s="31" t="s">
        <v>110</v>
      </c>
      <c r="C31" s="32" t="s">
        <v>119</v>
      </c>
      <c r="D31" s="33" t="s">
        <v>120</v>
      </c>
    </row>
    <row r="32" customFormat="false" ht="30" hidden="false" customHeight="true" outlineLevel="0" collapsed="false">
      <c r="B32" s="34" t="s">
        <v>110</v>
      </c>
      <c r="C32" s="35" t="s">
        <v>121</v>
      </c>
      <c r="D32" s="36" t="s">
        <v>122</v>
      </c>
    </row>
    <row r="34" customFormat="false" ht="9.75" hidden="false" customHeight="true" outlineLevel="0" collapsed="false"/>
    <row r="35" customFormat="false" ht="25.5" hidden="false" customHeight="true" outlineLevel="0" collapsed="false">
      <c r="B35" s="38" t="s">
        <v>123</v>
      </c>
      <c r="C35" s="38"/>
      <c r="D35" s="38"/>
    </row>
    <row r="36" customFormat="false" ht="19.5" hidden="false" customHeight="true" outlineLevel="0" collapsed="false">
      <c r="B36" s="39" t="s">
        <v>124</v>
      </c>
      <c r="C36" s="40" t="s">
        <v>125</v>
      </c>
    </row>
    <row r="37" customFormat="false" ht="19.5" hidden="false" customHeight="true" outlineLevel="0" collapsed="false">
      <c r="B37" s="39" t="s">
        <v>126</v>
      </c>
      <c r="C37" s="40" t="s">
        <v>127</v>
      </c>
    </row>
    <row r="38" customFormat="false" ht="19.5" hidden="false" customHeight="true" outlineLevel="0" collapsed="false">
      <c r="B38" s="39" t="s">
        <v>128</v>
      </c>
      <c r="C38" s="40" t="s">
        <v>129</v>
      </c>
    </row>
    <row r="39" customFormat="false" ht="19.5" hidden="false" customHeight="true" outlineLevel="0" collapsed="false">
      <c r="B39" s="39" t="s">
        <v>130</v>
      </c>
      <c r="C39" s="40" t="s">
        <v>131</v>
      </c>
    </row>
  </sheetData>
  <mergeCells count="7">
    <mergeCell ref="B2:D2"/>
    <mergeCell ref="B3:D3"/>
    <mergeCell ref="B5:D5"/>
    <mergeCell ref="B11:D11"/>
    <mergeCell ref="B19:D19"/>
    <mergeCell ref="B26:D26"/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2026-06-27T06:01:09Z</dcterms:created>
  <dc:creator>openpyxl</dc:creator>
  <dc:description/>
  <dc:language>en-US</dc:language>
  <cp:lastModifiedBy/>
  <dcterms:modified xsi:type="dcterms:W3CDTF">2026-06-27T06:01:30Z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