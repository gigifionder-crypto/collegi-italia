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i" sheetId="1" state="visible" r:id="rId3"/>
    <sheet name="iCBT" sheetId="2" state="visible" r:id="rId4"/>
    <sheet name="Collaborative Care" sheetId="3" state="visible" r:id="rId5"/>
    <sheet name="Confronto Compara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<sst xmlns="http://schemas.openxmlformats.org/spreadsheetml/2006/main" count="225" uniqueCount="140">
  <si>
    <t xml:space="preserve">MODELLO COMPARATIVO PRODUTTIVITÀ — HCA vs FCA</t>
  </si>
  <si>
    <t xml:space="preserve">Parametri Globali di Input — modificare le celle evidenziate in blu</t>
  </si>
  <si>
    <t xml:space="preserve">DATI OCCUPAZIONALI</t>
  </si>
  <si>
    <t xml:space="preserve">Salario medio annuo lordo (€)</t>
  </si>
  <si>
    <t xml:space="preserve">📝 Nota:</t>
  </si>
  <si>
    <t xml:space="preserve">Fonte: ISTAT; modificabile</t>
  </si>
  <si>
    <t xml:space="preserve">Giorni lavorativi per anno</t>
  </si>
  <si>
    <t xml:space="preserve">Standard contrattuale italiano</t>
  </si>
  <si>
    <t xml:space="preserve">Salario medio giornaliero (€)</t>
  </si>
  <si>
    <t xml:space="preserve">Calcolato automaticamente</t>
  </si>
  <si>
    <t xml:space="preserve">Ore lavorative per giorno</t>
  </si>
  <si>
    <t xml:space="preserve">Standard 8h</t>
  </si>
  <si>
    <t xml:space="preserve">Salario medio orario (€)</t>
  </si>
  <si>
    <t xml:space="preserve">PARAMETRI ASSENZA PER MOTIVI PSICOLOGICI</t>
  </si>
  <si>
    <t xml:space="preserve">Durata media assenza pre-trattamento (giorni)</t>
  </si>
  <si>
    <t xml:space="preserve">Modificabile: media letteratura 20-35 gg</t>
  </si>
  <si>
    <t xml:space="preserve">Durata media assenza post-trattamento (giorni)</t>
  </si>
  <si>
    <t xml:space="preserve">Modificabile: stima riduzione 40-60%</t>
  </si>
  <si>
    <t xml:space="preserve">Riduzione giorni di assenza (giorni)</t>
  </si>
  <si>
    <t xml:space="preserve">Differenza pre-post trattamento</t>
  </si>
  <si>
    <t xml:space="preserve">N° dipendenti target per anno</t>
  </si>
  <si>
    <t xml:space="preserve">Popolazione aziendale trattata</t>
  </si>
  <si>
    <t xml:space="preserve">Prevalenza disturbi ansia/depressione (%)</t>
  </si>
  <si>
    <t xml:space="preserve">Fonte: WHO; EU ~20%</t>
  </si>
  <si>
    <t xml:space="preserve">N° casi attesi per anno</t>
  </si>
  <si>
    <t xml:space="preserve">Dipendenti*prevalenza</t>
  </si>
  <si>
    <t xml:space="preserve">PARAMETRI METODO FCA (Costi Frizionali)</t>
  </si>
  <si>
    <t xml:space="preserve">Periodo di frizione stimato (giorni)</t>
  </si>
  <si>
    <t xml:space="preserve">Tempo medio di sostituzione lavoratore; range 60-120 gg</t>
  </si>
  <si>
    <t xml:space="preserve">Tasso di disoccupazione locale (%)</t>
  </si>
  <si>
    <t xml:space="preserve">Fonte: ISTAT; modifica per area geografica</t>
  </si>
  <si>
    <t xml:space="preserve">Fattore job-shift / sostituzione</t>
  </si>
  <si>
    <t xml:space="preserve">Proporzione assenza entro periodo frizione (max=1)</t>
  </si>
  <si>
    <t xml:space="preserve">Correzione disoccupazione (Koopmanschap 1995)</t>
  </si>
  <si>
    <t xml:space="preserve">Riduzione HCA per alta disoccupazione</t>
  </si>
  <si>
    <t xml:space="preserve">Costo reclutamento e formazione (% salario ann).</t>
  </si>
  <si>
    <t xml:space="preserve">Stima: 15% salario annuo; modificabile</t>
  </si>
  <si>
    <t xml:space="preserve">Perdita produttività parziale (presenteeismo %)</t>
  </si>
  <si>
    <t xml:space="preserve">Perdita produttività pur in presenza; range 0.20-0.40</t>
  </si>
  <si>
    <t xml:space="preserve">COSTI DEI TRATTAMENTI</t>
  </si>
  <si>
    <t xml:space="preserve">Costo iCBT per paziente (€)</t>
  </si>
  <si>
    <t xml:space="preserve">Online CBT guidata: range 200-500 €/paz</t>
  </si>
  <si>
    <t xml:space="preserve">Costo Collaborative Care per paziente (€)</t>
  </si>
  <si>
    <t xml:space="preserve">Team multidisciplinare: range 800-1800 €/paz</t>
  </si>
  <si>
    <t xml:space="preserve">Costo standard trattamento abitual (€/paz)</t>
  </si>
  <si>
    <t xml:space="preserve">Baseline TAU (Treatment As Usual)</t>
  </si>
  <si>
    <t xml:space="preserve">Tasso di successo iCBT (%)</t>
  </si>
  <si>
    <t xml:space="preserve">Remissione sintomi; fonte: metanalisi</t>
  </si>
  <si>
    <t xml:space="preserve">Tasso di successo Collaborative Care (%)</t>
  </si>
  <si>
    <t xml:space="preserve">Remissione sintomi; fonte: NICE/ISTC</t>
  </si>
  <si>
    <t xml:space="preserve">Tasso aggiustamento inflazione annuo (%)</t>
  </si>
  <si>
    <t xml:space="preserve">Per proiezioni pluriennali</t>
  </si>
  <si>
    <t xml:space="preserve">LEGENDA COLORI</t>
  </si>
  <si>
    <t xml:space="preserve">■ Testo BLU</t>
  </si>
  <si>
    <t xml:space="preserve">Celle di input — modificare liberamente</t>
  </si>
  <si>
    <t xml:space="preserve">■ Testo NERO</t>
  </si>
  <si>
    <t xml:space="preserve">Formule calcolate — non modificare</t>
  </si>
  <si>
    <t xml:space="preserve">■ Testo VERDE</t>
  </si>
  <si>
    <t xml:space="preserve">Collegamento da altro foglio</t>
  </si>
  <si>
    <t xml:space="preserve">ANALISI PRODUTTIVITÀ — ICBT</t>
  </si>
  <si>
    <t xml:space="preserve">Metodo del Capitale Umano (HCA) vs Costi Frizionali (FCA) · Correzioni job-shift e disoccupazione (Koopmanschap &amp; Rutten, 1995)</t>
  </si>
  <si>
    <t xml:space="preserve">COMPONENTE DI CALCOLO</t>
  </si>
  <si>
    <t xml:space="preserve">FORMULA / METODO</t>
  </si>
  <si>
    <t xml:space="preserve">HCA (€)</t>
  </si>
  <si>
    <t xml:space="preserve">FCA (€)</t>
  </si>
  <si>
    <t xml:space="preserve">DIFFERENZA HCA-FCA (€)</t>
  </si>
  <si>
    <t xml:space="preserve">A. PARAMETRI RICHIAMATI DA FOGLIO 'Parametri'</t>
  </si>
  <si>
    <t xml:space="preserve">Salario giornaliero medio (€)</t>
  </si>
  <si>
    <t xml:space="preserve">Giorni assenza PRE-trattamento</t>
  </si>
  <si>
    <t xml:space="preserve">Giorni assenza POST-trattamento</t>
  </si>
  <si>
    <t xml:space="preserve">Riduzione giorni assenza</t>
  </si>
  <si>
    <t xml:space="preserve">Numero casi trattati per anno</t>
  </si>
  <si>
    <t xml:space="preserve">Periodo frizione (giorni)</t>
  </si>
  <si>
    <t xml:space="preserve">Tasso disoccupazione (%)</t>
  </si>
  <si>
    <t xml:space="preserve">Fattore job-shift (frizione/assenza)</t>
  </si>
  <si>
    <t xml:space="preserve">Correzione disoccupazione</t>
  </si>
  <si>
    <t xml:space="preserve">Tasso di successo trattamento (%)</t>
  </si>
  <si>
    <t xml:space="preserve">Costo trattamento per paziente (€)</t>
  </si>
  <si>
    <t xml:space="preserve">Tasso inflazione annuo (%)</t>
  </si>
  <si>
    <t xml:space="preserve">B. CALCOLO RISPARMIO ANNUO — Anno Base</t>
  </si>
  <si>
    <t xml:space="preserve">1a. Perdita produttività PRE (per lavoratore, €)</t>
  </si>
  <si>
    <t xml:space="preserve">HCA: giorni_assenza_pre × salario_gg | FCA: min(frizione, giorni_pre) × salario_gg</t>
  </si>
  <si>
    <t xml:space="preserve">1b. Perdita produttività POST trattamento (per lavoratore, €)</t>
  </si>
  <si>
    <t xml:space="preserve">HCA: giorni_post × salario_gg | FCA: min(frizione, giorni_post) × salario_gg</t>
  </si>
  <si>
    <t xml:space="preserve">2. Risparmio lordo per caso trattato (€)</t>
  </si>
  <si>
    <t xml:space="preserve">Differenza perdita pre−post trattamento</t>
  </si>
  <si>
    <t xml:space="preserve">3. Correzione per tasso di successo</t>
  </si>
  <si>
    <t xml:space="preserve">Moltiplicato per tasso_successo</t>
  </si>
  <si>
    <t xml:space="preserve">4. Correzione job-shift (solo FCA)</t>
  </si>
  <si>
    <t xml:space="preserve">HCA: nessuna correzione | FCA: × fattore_job_shift</t>
  </si>
  <si>
    <t xml:space="preserve">5. Correzione disoccupazione (Koopmanschap)</t>
  </si>
  <si>
    <t xml:space="preserve">HCA: × (1−u) | FCA: già incorporata</t>
  </si>
  <si>
    <t xml:space="preserve">6. Risparmio netto per caso (€) — dopo correzioni</t>
  </si>
  <si>
    <t xml:space="preserve">Valore post-correzioni metodologiche</t>
  </si>
  <si>
    <t xml:space="preserve">7. Risparmio aggregato su tutti i casi (€)</t>
  </si>
  <si>
    <t xml:space="preserve">Risparmio_netto × n°_casi</t>
  </si>
  <si>
    <t xml:space="preserve">8. Costo totale del programma (€)</t>
  </si>
  <si>
    <t xml:space="preserve">Costo_per_paz × n°_casi</t>
  </si>
  <si>
    <t xml:space="preserve">9. RISPARMIO NETTO PRODUTTIVITÀ (€) — Anno 1</t>
  </si>
  <si>
    <t xml:space="preserve">Risparmio_aggregato − Costo_programma</t>
  </si>
  <si>
    <t xml:space="preserve">C. PROIEZIONI RISPARMIO NETTO (con rivalutazione inflazione)</t>
  </si>
  <si>
    <t xml:space="preserve">ORIZZONTE</t>
  </si>
  <si>
    <t xml:space="preserve">HCA — Risparmio cumulato (€)</t>
  </si>
  <si>
    <t xml:space="preserve">FCA — Risparmio cumulato (€)</t>
  </si>
  <si>
    <t xml:space="preserve">Differenza HCA−FCA (€)</t>
  </si>
  <si>
    <t xml:space="preserve">ROI netto HCA (%)</t>
  </si>
  <si>
    <t xml:space="preserve">Anno 1</t>
  </si>
  <si>
    <t xml:space="preserve">Anno 3 (cumulato)</t>
  </si>
  <si>
    <t xml:space="preserve">Anno 5 (cumulato)</t>
  </si>
  <si>
    <t xml:space="preserve">D. NOTE METODOLOGICHE</t>
  </si>
  <si>
    <t xml:space="preserve">• HCA (Human Capital Approach): misura la perdita di produttività in base al salario di mercato × giorni di assenza. Tende a sovrastimare i costi in contesti di alta disoccupazione.</t>
  </si>
  <si>
    <t xml:space="preserve">• FCA (Friction Cost Approach, Koopmanschap &amp; Rutten 1995): considera solo la perdita produttiva durante il 'periodo di frizione', ovvero il tempo necessario a trovare e formare un sostituto. Più conservativo dell'HCA.</t>
  </si>
  <si>
    <t xml:space="preserve">• Correzione job-shift: se un collega assorbe temporaneamente il lavoro (job-shift), la perdita reale è ridotta. Il fattore job-shift = MIN(frizione/assenza, 1).</t>
  </si>
  <si>
    <t xml:space="preserve">• Correzione disoccupazione: in presenza di disoccupazione, il posto vuoto viene facilmente coperto → l'HCA viene ridotto per (1 − tasso disoccupazione) per avvicinarsi alla perdita reale.</t>
  </si>
  <si>
    <t xml:space="preserve">• Presenteeismo non incluso in questa versione base: il parametro 'perdita produttività parziale' è disponibile come estensione nei Parametri.</t>
  </si>
  <si>
    <t xml:space="preserve">• Fonti: Koopmanschap MA et al. (1995) J Health Econ 14:171-189; Lerner D et al. (2004) JOEM; NICE Guidelines Depression Workplace (2009).</t>
  </si>
  <si>
    <t xml:space="preserve">ANALISI PRODUTTIVITÀ — COLLABORATIVE CARE</t>
  </si>
  <si>
    <t xml:space="preserve">CONFRONTO COMPARATIVO — iCBT vs Collaborative Care</t>
  </si>
  <si>
    <t xml:space="preserve">Riepilogo sintetico degli impatti economici stimati con metodi HCA e FCA · Tutti i valori provengono da calcoli nei fogli dedicati</t>
  </si>
  <si>
    <t xml:space="preserve">INDICATORE</t>
  </si>
  <si>
    <t xml:space="preserve">iCBT — HCA (€)</t>
  </si>
  <si>
    <t xml:space="preserve">iCBT — FCA (€)</t>
  </si>
  <si>
    <t xml:space="preserve">Coll. Care — HCA (€)</t>
  </si>
  <si>
    <t xml:space="preserve">Coll. Care — FCA (€)</t>
  </si>
  <si>
    <t xml:space="preserve">Vantaggio iCBT vs CC (HCA)</t>
  </si>
  <si>
    <t xml:space="preserve">Risparmio netto Anno 1</t>
  </si>
  <si>
    <t xml:space="preserve">Costo programma Anno 1</t>
  </si>
  <si>
    <t xml:space="preserve">Risparmio netto cumulato Anno 3</t>
  </si>
  <si>
    <t xml:space="preserve">Risparmio netto cumulato Anno 5</t>
  </si>
  <si>
    <t xml:space="preserve">ROI netto Anno 1 (HCA)</t>
  </si>
  <si>
    <t xml:space="preserve">—</t>
  </si>
  <si>
    <t xml:space="preserve">ROI netto Anno 3 (HCA)</t>
  </si>
  <si>
    <t xml:space="preserve">ROI netto Anno 5 (HCA)</t>
  </si>
  <si>
    <t xml:space="preserve">ANALISI DI SENSIBILITÀ — Impatto del Tasso di Disoccupazione su HCA (Anno 1, iCBT)</t>
  </si>
  <si>
    <t xml:space="preserve">Fattore correzione</t>
  </si>
  <si>
    <t xml:space="preserve">HCA corretto — risparmio per caso (€)</t>
  </si>
  <si>
    <t xml:space="preserve">HCA corretto — totale Anno 1 (€)</t>
  </si>
  <si>
    <t xml:space="preserve">FCA — totale Anno 1 (€)</t>
  </si>
  <si>
    <t xml:space="preserve">Bias HCA vs FCA (%)</t>
  </si>
  <si>
    <t xml:space="preserve">★ La riga evidenziata in giallo corrisponde al valore di default impostato in 'Parametri'!C23. Modificando il tasso di disoccupazione in 'Parametri', il foglio si aggiorna automaticamente.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</si>
</sst>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€ &quot;#,##0"/>
    <numFmt numFmtId="166" formatCode="#,##0"/>
    <numFmt numFmtId="167" formatCode="&quot;€ &quot;#,##0.00"/>
    <numFmt numFmtId="168" formatCode="#,##0.0"/>
    <numFmt numFmtId="169" formatCode="0.0%"/>
    <numFmt numFmtId="170" formatCode="0.00"/>
    <numFmt numFmtId="171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008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8000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sz val="9"/>
      <color rgb="FF0000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74D"/>
        <bgColor rgb="FF003366"/>
      </patternFill>
    </fill>
    <fill>
      <patternFill patternType="solid">
        <fgColor rgb="FF20808D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A84B2F"/>
        <bgColor rgb="FF993366"/>
      </patternFill>
    </fill>
    <fill>
      <patternFill patternType="solid">
        <fgColor rgb="FFBCE2E7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FC553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55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A84B2F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4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2" t="s">
        <v>0</v>
      </c>
      <c r="C2" s="2"/>
      <c r="D2" s="2"/>
      <c r="E2" s="2"/>
    </row>
    <row r="3" customFormat="false" ht="18" hidden="false" customHeight="true" outlineLevel="0" collapsed="false">
      <c r="B3" s="3" t="s">
        <v>1</v>
      </c>
      <c r="C3" s="3"/>
      <c r="D3" s="3"/>
      <c r="E3" s="3"/>
    </row>
    <row r="5" customFormat="false" ht="18" hidden="false" customHeight="true" outlineLevel="0" collapsed="false">
      <c r="B5" s="4" t="s">
        <v>2</v>
      </c>
      <c r="C5" s="4"/>
      <c r="D5" s="4"/>
      <c r="E5" s="4"/>
    </row>
    <row r="6" customFormat="false" ht="15" hidden="false" customHeight="true" outlineLevel="0" collapsed="false">
      <c r="B6" s="5" t="s">
        <v>3</v>
      </c>
      <c r="C6" s="6" t="n">
        <v>35000</v>
      </c>
      <c r="D6" s="7" t="s">
        <v>4</v>
      </c>
      <c r="E6" s="8" t="s">
        <v>5</v>
      </c>
    </row>
    <row r="7" customFormat="false" ht="15" hidden="false" customHeight="true" outlineLevel="0" collapsed="false">
      <c r="B7" s="9" t="s">
        <v>6</v>
      </c>
      <c r="C7" s="10" t="n">
        <v>220</v>
      </c>
      <c r="D7" s="7" t="s">
        <v>4</v>
      </c>
      <c r="E7" s="11" t="s">
        <v>7</v>
      </c>
    </row>
    <row r="8" customFormat="false" ht="15" hidden="false" customHeight="true" outlineLevel="0" collapsed="false">
      <c r="B8" s="5" t="s">
        <v>8</v>
      </c>
      <c r="C8" s="12" t="n">
        <f aca="false">C6/C7</f>
        <v>159.090909090909</v>
      </c>
      <c r="D8" s="7" t="s">
        <v>4</v>
      </c>
      <c r="E8" s="8" t="s">
        <v>9</v>
      </c>
    </row>
    <row r="9" customFormat="false" ht="15" hidden="false" customHeight="true" outlineLevel="0" collapsed="false">
      <c r="B9" s="9" t="s">
        <v>10</v>
      </c>
      <c r="C9" s="13" t="n">
        <v>8</v>
      </c>
      <c r="D9" s="7" t="s">
        <v>4</v>
      </c>
      <c r="E9" s="11" t="s">
        <v>11</v>
      </c>
    </row>
    <row r="10" customFormat="false" ht="15" hidden="false" customHeight="true" outlineLevel="0" collapsed="false">
      <c r="B10" s="5" t="s">
        <v>12</v>
      </c>
      <c r="C10" s="12" t="n">
        <f aca="false">C8/C9</f>
        <v>19.8863636363636</v>
      </c>
      <c r="D10" s="7" t="s">
        <v>4</v>
      </c>
      <c r="E10" s="8" t="s">
        <v>9</v>
      </c>
    </row>
    <row r="12" customFormat="false" ht="18" hidden="false" customHeight="true" outlineLevel="0" collapsed="false">
      <c r="B12" s="4" t="s">
        <v>13</v>
      </c>
      <c r="C12" s="4"/>
      <c r="D12" s="4"/>
      <c r="E12" s="4"/>
    </row>
    <row r="13" customFormat="false" ht="15" hidden="false" customHeight="true" outlineLevel="0" collapsed="false">
      <c r="B13" s="9" t="s">
        <v>14</v>
      </c>
      <c r="C13" s="10" t="n">
        <v>25</v>
      </c>
      <c r="D13" s="14" t="s">
        <v>4</v>
      </c>
      <c r="E13" s="14" t="s">
        <v>15</v>
      </c>
    </row>
    <row r="14" customFormat="false" ht="15" hidden="false" customHeight="true" outlineLevel="0" collapsed="false">
      <c r="B14" s="5" t="s">
        <v>16</v>
      </c>
      <c r="C14" s="15" t="n">
        <v>10</v>
      </c>
      <c r="D14" s="16" t="s">
        <v>4</v>
      </c>
      <c r="E14" s="16" t="s">
        <v>17</v>
      </c>
    </row>
    <row r="15" customFormat="false" ht="15" hidden="false" customHeight="true" outlineLevel="0" collapsed="false">
      <c r="B15" s="9" t="s">
        <v>18</v>
      </c>
      <c r="C15" s="17" t="n">
        <f aca="false">C13-C14</f>
        <v>15</v>
      </c>
      <c r="D15" s="14" t="s">
        <v>4</v>
      </c>
      <c r="E15" s="14" t="s">
        <v>19</v>
      </c>
    </row>
    <row r="16" customFormat="false" ht="15" hidden="false" customHeight="true" outlineLevel="0" collapsed="false">
      <c r="B16" s="5" t="s">
        <v>20</v>
      </c>
      <c r="C16" s="15" t="n">
        <v>100</v>
      </c>
      <c r="D16" s="16" t="s">
        <v>4</v>
      </c>
      <c r="E16" s="16" t="s">
        <v>21</v>
      </c>
    </row>
    <row r="17" customFormat="false" ht="15" hidden="false" customHeight="true" outlineLevel="0" collapsed="false">
      <c r="B17" s="9" t="s">
        <v>22</v>
      </c>
      <c r="C17" s="18" t="n">
        <v>0.2</v>
      </c>
      <c r="D17" s="14" t="s">
        <v>4</v>
      </c>
      <c r="E17" s="14" t="s">
        <v>23</v>
      </c>
    </row>
    <row r="18" customFormat="false" ht="15" hidden="false" customHeight="true" outlineLevel="0" collapsed="false">
      <c r="B18" s="5" t="s">
        <v>24</v>
      </c>
      <c r="C18" s="19" t="n">
        <f aca="false">C16*C17</f>
        <v>20</v>
      </c>
      <c r="D18" s="16" t="s">
        <v>4</v>
      </c>
      <c r="E18" s="16" t="s">
        <v>25</v>
      </c>
    </row>
    <row r="21" customFormat="false" ht="18" hidden="false" customHeight="true" outlineLevel="0" collapsed="false">
      <c r="B21" s="20" t="s">
        <v>26</v>
      </c>
      <c r="C21" s="20"/>
      <c r="D21" s="20"/>
      <c r="E21" s="20"/>
    </row>
    <row r="22" customFormat="false" ht="15" hidden="false" customHeight="true" outlineLevel="0" collapsed="false">
      <c r="B22" s="5" t="s">
        <v>27</v>
      </c>
      <c r="C22" s="15" t="n">
        <v>90</v>
      </c>
      <c r="D22" s="16" t="s">
        <v>4</v>
      </c>
      <c r="E22" s="16" t="s">
        <v>28</v>
      </c>
    </row>
    <row r="23" customFormat="false" ht="15" hidden="false" customHeight="true" outlineLevel="0" collapsed="false">
      <c r="B23" s="9" t="s">
        <v>29</v>
      </c>
      <c r="C23" s="18" t="n">
        <v>0.07</v>
      </c>
      <c r="D23" s="14" t="s">
        <v>4</v>
      </c>
      <c r="E23" s="14" t="s">
        <v>30</v>
      </c>
    </row>
    <row r="24" customFormat="false" ht="15" hidden="false" customHeight="true" outlineLevel="0" collapsed="false">
      <c r="B24" s="5" t="s">
        <v>31</v>
      </c>
      <c r="C24" s="21" t="n">
        <f aca="false">MIN(C22/C13,1)</f>
        <v>1</v>
      </c>
      <c r="D24" s="16" t="s">
        <v>4</v>
      </c>
      <c r="E24" s="16" t="s">
        <v>32</v>
      </c>
    </row>
    <row r="25" customFormat="false" ht="23.25" hidden="false" customHeight="true" outlineLevel="0" collapsed="false">
      <c r="B25" s="9" t="s">
        <v>33</v>
      </c>
      <c r="C25" s="22" t="n">
        <f aca="false">1-C23</f>
        <v>0.93</v>
      </c>
      <c r="D25" s="14" t="s">
        <v>4</v>
      </c>
      <c r="E25" s="14" t="s">
        <v>34</v>
      </c>
    </row>
    <row r="26" customFormat="false" ht="23.25" hidden="false" customHeight="true" outlineLevel="0" collapsed="false">
      <c r="B26" s="5" t="s">
        <v>35</v>
      </c>
      <c r="C26" s="23" t="n">
        <v>0.15</v>
      </c>
      <c r="D26" s="16" t="s">
        <v>4</v>
      </c>
      <c r="E26" s="16" t="s">
        <v>36</v>
      </c>
    </row>
    <row r="27" customFormat="false" ht="15" hidden="false" customHeight="true" outlineLevel="0" collapsed="false">
      <c r="B27" s="9" t="s">
        <v>37</v>
      </c>
      <c r="C27" s="18" t="n">
        <v>0.3</v>
      </c>
      <c r="D27" s="14" t="s">
        <v>4</v>
      </c>
      <c r="E27" s="14" t="s">
        <v>38</v>
      </c>
    </row>
    <row r="29" customFormat="false" ht="18" hidden="false" customHeight="true" outlineLevel="0" collapsed="false">
      <c r="B29" s="24" t="s">
        <v>39</v>
      </c>
      <c r="C29" s="24"/>
      <c r="D29" s="24"/>
      <c r="E29" s="24"/>
    </row>
    <row r="30" customFormat="false" ht="15" hidden="false" customHeight="true" outlineLevel="0" collapsed="false">
      <c r="B30" s="5" t="s">
        <v>40</v>
      </c>
      <c r="C30" s="6" t="n">
        <v>300</v>
      </c>
      <c r="D30" s="16" t="s">
        <v>4</v>
      </c>
      <c r="E30" s="16" t="s">
        <v>41</v>
      </c>
    </row>
    <row r="31" customFormat="false" ht="15" hidden="false" customHeight="true" outlineLevel="0" collapsed="false">
      <c r="B31" s="9" t="s">
        <v>42</v>
      </c>
      <c r="C31" s="25" t="n">
        <v>1200</v>
      </c>
      <c r="D31" s="14" t="s">
        <v>4</v>
      </c>
      <c r="E31" s="14" t="s">
        <v>43</v>
      </c>
    </row>
    <row r="32" customFormat="false" ht="15" hidden="false" customHeight="true" outlineLevel="0" collapsed="false">
      <c r="B32" s="5" t="s">
        <v>44</v>
      </c>
      <c r="C32" s="6" t="n">
        <v>600</v>
      </c>
      <c r="D32" s="16" t="s">
        <v>4</v>
      </c>
      <c r="E32" s="16" t="s">
        <v>45</v>
      </c>
    </row>
    <row r="33" customFormat="false" ht="15" hidden="false" customHeight="true" outlineLevel="0" collapsed="false">
      <c r="B33" s="9" t="s">
        <v>46</v>
      </c>
      <c r="C33" s="18" t="n">
        <v>0.6</v>
      </c>
      <c r="D33" s="14" t="s">
        <v>4</v>
      </c>
      <c r="E33" s="14" t="s">
        <v>47</v>
      </c>
    </row>
    <row r="34" customFormat="false" ht="15" hidden="false" customHeight="true" outlineLevel="0" collapsed="false">
      <c r="B34" s="5" t="s">
        <v>48</v>
      </c>
      <c r="C34" s="23" t="n">
        <v>0.75</v>
      </c>
      <c r="D34" s="16" t="s">
        <v>4</v>
      </c>
      <c r="E34" s="16" t="s">
        <v>49</v>
      </c>
    </row>
    <row r="35" customFormat="false" ht="15" hidden="false" customHeight="true" outlineLevel="0" collapsed="false">
      <c r="B35" s="9" t="s">
        <v>50</v>
      </c>
      <c r="C35" s="18" t="n">
        <v>0.025</v>
      </c>
      <c r="D35" s="14" t="s">
        <v>4</v>
      </c>
      <c r="E35" s="14" t="s">
        <v>51</v>
      </c>
    </row>
    <row r="38" customFormat="false" ht="15" hidden="false" customHeight="true" outlineLevel="0" collapsed="false">
      <c r="B38" s="26" t="s">
        <v>52</v>
      </c>
      <c r="C38" s="26"/>
      <c r="D38" s="26"/>
      <c r="E38" s="26"/>
    </row>
    <row r="39" customFormat="false" ht="15" hidden="false" customHeight="true" outlineLevel="0" collapsed="false">
      <c r="B39" s="27" t="s">
        <v>53</v>
      </c>
      <c r="C39" s="28" t="s">
        <v>54</v>
      </c>
      <c r="D39" s="28"/>
      <c r="E39" s="28"/>
    </row>
    <row r="40" customFormat="false" ht="15" hidden="false" customHeight="true" outlineLevel="0" collapsed="false">
      <c r="B40" s="29" t="s">
        <v>55</v>
      </c>
      <c r="C40" s="28" t="s">
        <v>56</v>
      </c>
      <c r="D40" s="28"/>
      <c r="E40" s="28"/>
    </row>
    <row r="41" customFormat="false" ht="15" hidden="false" customHeight="true" outlineLevel="0" collapsed="false">
      <c r="B41" s="30" t="s">
        <v>57</v>
      </c>
      <c r="C41" s="28" t="s">
        <v>58</v>
      </c>
      <c r="D41" s="28"/>
      <c r="E41" s="28"/>
    </row>
  </sheetData>
  <mergeCells count="10">
    <mergeCell ref="B2:E2"/>
    <mergeCell ref="B3:E3"/>
    <mergeCell ref="B5:E5"/>
    <mergeCell ref="B12:E12"/>
    <mergeCell ref="B21:E21"/>
    <mergeCell ref="B29:E29"/>
    <mergeCell ref="B38:E38"/>
    <mergeCell ref="C39:E39"/>
    <mergeCell ref="C40:E40"/>
    <mergeCell ref="C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5" min="3" style="1" width="20"/>
    <col collapsed="false" customWidth="true" hidden="false" outlineLevel="0" max="6" min="6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31" t="s">
        <v>59</v>
      </c>
      <c r="C2" s="31"/>
      <c r="D2" s="31"/>
      <c r="E2" s="31"/>
      <c r="F2" s="31"/>
    </row>
    <row r="3" customFormat="false" ht="15.75" hidden="false" customHeight="true" outlineLevel="0" collapsed="false">
      <c r="B3" s="32" t="s">
        <v>60</v>
      </c>
      <c r="C3" s="32"/>
      <c r="D3" s="32"/>
      <c r="E3" s="32"/>
      <c r="F3" s="32"/>
    </row>
    <row r="5" customFormat="false" ht="31.5" hidden="false" customHeight="true" outlineLevel="0" collapsed="false">
      <c r="B5" s="33" t="s">
        <v>61</v>
      </c>
      <c r="C5" s="33" t="s">
        <v>62</v>
      </c>
      <c r="D5" s="33" t="s">
        <v>63</v>
      </c>
      <c r="E5" s="33" t="s">
        <v>64</v>
      </c>
      <c r="F5" s="33" t="s">
        <v>65</v>
      </c>
    </row>
    <row r="6" customFormat="false" ht="15.75" hidden="false" customHeight="true" outlineLevel="0" collapsed="false">
      <c r="B6" s="34" t="s">
        <v>66</v>
      </c>
      <c r="C6" s="34"/>
      <c r="D6" s="34"/>
      <c r="E6" s="34"/>
      <c r="F6" s="34"/>
    </row>
    <row r="7" customFormat="false" ht="15" hidden="false" customHeight="true" outlineLevel="0" collapsed="false">
      <c r="B7" s="35" t="s">
        <v>67</v>
      </c>
      <c r="C7" s="36" t="n">
        <f aca="false">Parametri!C8</f>
        <v>159.090909090909</v>
      </c>
      <c r="D7" s="37"/>
      <c r="E7" s="37"/>
      <c r="F7" s="37"/>
    </row>
    <row r="8" customFormat="false" ht="15" hidden="false" customHeight="true" outlineLevel="0" collapsed="false">
      <c r="B8" s="38" t="s">
        <v>68</v>
      </c>
      <c r="C8" s="39" t="n">
        <f aca="false">Parametri!C13</f>
        <v>25</v>
      </c>
      <c r="D8" s="40"/>
      <c r="E8" s="40"/>
      <c r="F8" s="40"/>
    </row>
    <row r="9" customFormat="false" ht="15" hidden="false" customHeight="true" outlineLevel="0" collapsed="false">
      <c r="B9" s="35" t="s">
        <v>69</v>
      </c>
      <c r="C9" s="41" t="n">
        <f aca="false">Parametri!C14</f>
        <v>10</v>
      </c>
      <c r="D9" s="37"/>
      <c r="E9" s="37"/>
      <c r="F9" s="37"/>
    </row>
    <row r="10" customFormat="false" ht="15" hidden="false" customHeight="true" outlineLevel="0" collapsed="false">
      <c r="B10" s="38" t="s">
        <v>70</v>
      </c>
      <c r="C10" s="39" t="n">
        <f aca="false">Parametri!C15</f>
        <v>15</v>
      </c>
      <c r="D10" s="40"/>
      <c r="E10" s="40"/>
      <c r="F10" s="40"/>
    </row>
    <row r="11" customFormat="false" ht="15" hidden="false" customHeight="true" outlineLevel="0" collapsed="false">
      <c r="B11" s="35" t="s">
        <v>71</v>
      </c>
      <c r="C11" s="41" t="n">
        <f aca="false">Parametri!C18</f>
        <v>20</v>
      </c>
      <c r="D11" s="37"/>
      <c r="E11" s="37"/>
      <c r="F11" s="37"/>
    </row>
    <row r="12" customFormat="false" ht="15" hidden="false" customHeight="true" outlineLevel="0" collapsed="false">
      <c r="B12" s="38" t="s">
        <v>72</v>
      </c>
      <c r="C12" s="39" t="n">
        <f aca="false">Parametri!C22</f>
        <v>90</v>
      </c>
      <c r="D12" s="40"/>
      <c r="E12" s="40"/>
      <c r="F12" s="40"/>
    </row>
    <row r="13" customFormat="false" ht="15" hidden="false" customHeight="true" outlineLevel="0" collapsed="false">
      <c r="B13" s="35" t="s">
        <v>73</v>
      </c>
      <c r="C13" s="42" t="n">
        <f aca="false">Parametri!C23</f>
        <v>0.07</v>
      </c>
      <c r="D13" s="37"/>
      <c r="E13" s="37"/>
      <c r="F13" s="37"/>
    </row>
    <row r="14" customFormat="false" ht="15" hidden="false" customHeight="true" outlineLevel="0" collapsed="false">
      <c r="B14" s="38" t="s">
        <v>74</v>
      </c>
      <c r="C14" s="43" t="n">
        <f aca="false">Parametri!C24</f>
        <v>1</v>
      </c>
      <c r="D14" s="40"/>
      <c r="E14" s="40"/>
      <c r="F14" s="40"/>
    </row>
    <row r="15" customFormat="false" ht="15" hidden="false" customHeight="true" outlineLevel="0" collapsed="false">
      <c r="B15" s="35" t="s">
        <v>75</v>
      </c>
      <c r="C15" s="42" t="n">
        <f aca="false">Parametri!C25</f>
        <v>0.93</v>
      </c>
      <c r="D15" s="37"/>
      <c r="E15" s="37"/>
      <c r="F15" s="37"/>
    </row>
    <row r="16" customFormat="false" ht="15" hidden="false" customHeight="true" outlineLevel="0" collapsed="false">
      <c r="B16" s="38" t="s">
        <v>76</v>
      </c>
      <c r="C16" s="44" t="n">
        <f aca="false">Parametri!C33</f>
        <v>0.6</v>
      </c>
      <c r="D16" s="40"/>
      <c r="E16" s="40"/>
      <c r="F16" s="40"/>
    </row>
    <row r="17" customFormat="false" ht="15" hidden="false" customHeight="true" outlineLevel="0" collapsed="false">
      <c r="B17" s="35" t="s">
        <v>77</v>
      </c>
      <c r="C17" s="45" t="n">
        <f aca="false">Parametri!C30</f>
        <v>300</v>
      </c>
      <c r="D17" s="37"/>
      <c r="E17" s="37"/>
      <c r="F17" s="37"/>
    </row>
    <row r="18" customFormat="false" ht="15" hidden="false" customHeight="true" outlineLevel="0" collapsed="false">
      <c r="B18" s="38" t="s">
        <v>78</v>
      </c>
      <c r="C18" s="44" t="n">
        <f aca="false">Parametri!C35</f>
        <v>0.025</v>
      </c>
      <c r="D18" s="40"/>
      <c r="E18" s="40"/>
      <c r="F18" s="40"/>
    </row>
    <row r="20" customFormat="false" ht="15.75" hidden="false" customHeight="true" outlineLevel="0" collapsed="false">
      <c r="B20" s="34" t="s">
        <v>79</v>
      </c>
      <c r="C20" s="34"/>
      <c r="D20" s="34"/>
      <c r="E20" s="34"/>
      <c r="F20" s="34"/>
    </row>
    <row r="21" customFormat="false" ht="30" hidden="false" customHeight="true" outlineLevel="0" collapsed="false">
      <c r="B21" s="35" t="s">
        <v>80</v>
      </c>
      <c r="C21" s="46" t="n">
        <f aca="false">C8*C7</f>
        <v>3977.27272727273</v>
      </c>
      <c r="D21" s="46" t="n">
        <f aca="false">MIN(C12,C8)*C7</f>
        <v>3977.27272727273</v>
      </c>
      <c r="E21" s="46" t="n">
        <f aca="false">C21-D21</f>
        <v>0</v>
      </c>
      <c r="F21" s="47" t="s">
        <v>81</v>
      </c>
    </row>
    <row r="22" customFormat="false" ht="30" hidden="false" customHeight="true" outlineLevel="0" collapsed="false">
      <c r="B22" s="38" t="s">
        <v>82</v>
      </c>
      <c r="C22" s="48" t="n">
        <f aca="false">C9*C7</f>
        <v>1590.90909090909</v>
      </c>
      <c r="D22" s="48" t="n">
        <f aca="false">MIN(C12,C9)*C7</f>
        <v>1590.90909090909</v>
      </c>
      <c r="E22" s="48" t="n">
        <f aca="false">C22-D22</f>
        <v>0</v>
      </c>
      <c r="F22" s="49" t="s">
        <v>83</v>
      </c>
    </row>
    <row r="23" customFormat="false" ht="20.25" hidden="false" customHeight="true" outlineLevel="0" collapsed="false">
      <c r="B23" s="35" t="s">
        <v>84</v>
      </c>
      <c r="C23" s="46" t="n">
        <f aca="false">C21-C22</f>
        <v>2386.36363636364</v>
      </c>
      <c r="D23" s="46" t="n">
        <f aca="false">D21-D22</f>
        <v>2386.36363636364</v>
      </c>
      <c r="E23" s="46" t="n">
        <f aca="false">C23-D23</f>
        <v>0</v>
      </c>
      <c r="F23" s="47" t="s">
        <v>85</v>
      </c>
    </row>
    <row r="24" customFormat="false" ht="15" hidden="false" customHeight="true" outlineLevel="0" collapsed="false">
      <c r="B24" s="38" t="s">
        <v>86</v>
      </c>
      <c r="C24" s="48" t="n">
        <f aca="false">C23*C16</f>
        <v>1431.81818181818</v>
      </c>
      <c r="D24" s="48" t="n">
        <f aca="false">D23*C16</f>
        <v>1431.81818181818</v>
      </c>
      <c r="E24" s="48" t="n">
        <f aca="false">C24-D24</f>
        <v>0</v>
      </c>
      <c r="F24" s="49" t="s">
        <v>87</v>
      </c>
    </row>
    <row r="25" customFormat="false" ht="20.25" hidden="false" customHeight="true" outlineLevel="0" collapsed="false">
      <c r="B25" s="35" t="s">
        <v>88</v>
      </c>
      <c r="C25" s="46" t="n">
        <f aca="false">C24</f>
        <v>1431.81818181818</v>
      </c>
      <c r="D25" s="46" t="n">
        <f aca="false">D24*C14</f>
        <v>1431.81818181818</v>
      </c>
      <c r="E25" s="46" t="n">
        <f aca="false">C25-D25</f>
        <v>0</v>
      </c>
      <c r="F25" s="47" t="s">
        <v>89</v>
      </c>
    </row>
    <row r="26" customFormat="false" ht="20.25" hidden="false" customHeight="true" outlineLevel="0" collapsed="false">
      <c r="B26" s="38" t="s">
        <v>90</v>
      </c>
      <c r="C26" s="48" t="n">
        <f aca="false">C25*(1-C13)</f>
        <v>1331.59090909091</v>
      </c>
      <c r="D26" s="48" t="n">
        <f aca="false">D25</f>
        <v>1431.81818181818</v>
      </c>
      <c r="E26" s="48" t="n">
        <f aca="false">C26-D26</f>
        <v>-100.227272727273</v>
      </c>
      <c r="F26" s="49" t="s">
        <v>91</v>
      </c>
    </row>
    <row r="27" customFormat="false" ht="20.25" hidden="false" customHeight="true" outlineLevel="0" collapsed="false">
      <c r="B27" s="35" t="s">
        <v>92</v>
      </c>
      <c r="C27" s="46" t="n">
        <f aca="false">C26</f>
        <v>1331.59090909091</v>
      </c>
      <c r="D27" s="46" t="n">
        <f aca="false">D26</f>
        <v>1431.81818181818</v>
      </c>
      <c r="E27" s="46" t="n">
        <f aca="false">C27-D27</f>
        <v>-100.227272727273</v>
      </c>
      <c r="F27" s="47" t="s">
        <v>93</v>
      </c>
    </row>
    <row r="28" customFormat="false" ht="15" hidden="false" customHeight="true" outlineLevel="0" collapsed="false">
      <c r="B28" s="38" t="s">
        <v>94</v>
      </c>
      <c r="C28" s="48" t="n">
        <f aca="false">C27*C11</f>
        <v>26631.8181818182</v>
      </c>
      <c r="D28" s="48" t="n">
        <f aca="false">D27*C11</f>
        <v>28636.3636363636</v>
      </c>
      <c r="E28" s="48" t="n">
        <f aca="false">C28-D28</f>
        <v>-2004.54545454546</v>
      </c>
      <c r="F28" s="49" t="s">
        <v>95</v>
      </c>
    </row>
    <row r="29" customFormat="false" ht="15" hidden="false" customHeight="true" outlineLevel="0" collapsed="false">
      <c r="B29" s="35" t="s">
        <v>96</v>
      </c>
      <c r="C29" s="46" t="n">
        <f aca="false">C17*C11</f>
        <v>6000</v>
      </c>
      <c r="D29" s="46" t="n">
        <f aca="false">C17*C11</f>
        <v>6000</v>
      </c>
      <c r="E29" s="46" t="n">
        <f aca="false">C29-D29</f>
        <v>0</v>
      </c>
      <c r="F29" s="47" t="s">
        <v>97</v>
      </c>
    </row>
    <row r="30" customFormat="false" ht="20.25" hidden="false" customHeight="true" outlineLevel="0" collapsed="false">
      <c r="B30" s="50" t="s">
        <v>98</v>
      </c>
      <c r="C30" s="51" t="n">
        <f aca="false">C28-C29</f>
        <v>20631.8181818182</v>
      </c>
      <c r="D30" s="51" t="n">
        <f aca="false">D28-D29</f>
        <v>22636.3636363636</v>
      </c>
      <c r="E30" s="51" t="n">
        <f aca="false">C30-D30</f>
        <v>-2004.54545454546</v>
      </c>
      <c r="F30" s="52" t="s">
        <v>99</v>
      </c>
    </row>
    <row r="32" customFormat="false" ht="15.75" hidden="false" customHeight="true" outlineLevel="0" collapsed="false">
      <c r="B32" s="34" t="s">
        <v>100</v>
      </c>
      <c r="C32" s="34"/>
      <c r="D32" s="34"/>
      <c r="E32" s="34"/>
      <c r="F32" s="34"/>
    </row>
    <row r="33" customFormat="false" ht="27.75" hidden="false" customHeight="true" outlineLevel="0" collapsed="false">
      <c r="B33" s="33" t="s">
        <v>101</v>
      </c>
      <c r="C33" s="33" t="s">
        <v>102</v>
      </c>
      <c r="D33" s="33" t="s">
        <v>103</v>
      </c>
      <c r="E33" s="33" t="s">
        <v>104</v>
      </c>
      <c r="F33" s="33" t="s">
        <v>105</v>
      </c>
    </row>
    <row r="34" customFormat="false" ht="15" hidden="false" customHeight="true" outlineLevel="0" collapsed="false">
      <c r="B34" s="53" t="s">
        <v>106</v>
      </c>
      <c r="C34" s="54" t="n">
        <f aca="false">C30</f>
        <v>20631.8181818182</v>
      </c>
      <c r="D34" s="54" t="n">
        <f aca="false">D30</f>
        <v>22636.3636363636</v>
      </c>
      <c r="E34" s="54" t="n">
        <f aca="false">C34-D34</f>
        <v>-2004.54545454546</v>
      </c>
      <c r="F34" s="55" t="n">
        <f aca="false">IFERROR((C34-C29)/ABS(C29),0)</f>
        <v>2.43863636363636</v>
      </c>
    </row>
    <row r="35" customFormat="false" ht="15" hidden="false" customHeight="true" outlineLevel="0" collapsed="false">
      <c r="B35" s="56" t="s">
        <v>107</v>
      </c>
      <c r="C35" s="57" t="n">
        <f aca="false">C30*(((1+C18)^3-1)/C18)</f>
        <v>63455.7357954543</v>
      </c>
      <c r="D35" s="57" t="n">
        <f aca="false">D30*(((1+C18)^3-1)/C18)</f>
        <v>69620.9659090906</v>
      </c>
      <c r="E35" s="57" t="n">
        <f aca="false">C35-D35</f>
        <v>-6165.23011363633</v>
      </c>
      <c r="F35" s="58" t="n">
        <f aca="false">IFERROR((C35-(C17*C11*3))/(ABS(C17*C11*3)),0)</f>
        <v>2.52531865530301</v>
      </c>
    </row>
    <row r="36" customFormat="false" ht="15" hidden="false" customHeight="true" outlineLevel="0" collapsed="false">
      <c r="B36" s="59" t="s">
        <v>108</v>
      </c>
      <c r="C36" s="60" t="n">
        <f aca="false">C30*(((1+C18)^5-1)/C18)</f>
        <v>108447.614238281</v>
      </c>
      <c r="D36" s="60" t="n">
        <f aca="false">D30*(((1+C18)^5-1)/C18)</f>
        <v>118984.163671874</v>
      </c>
      <c r="E36" s="60" t="n">
        <f aca="false">C36-D36</f>
        <v>-10536.5494335937</v>
      </c>
      <c r="F36" s="61" t="n">
        <f aca="false">IFERROR((C36-(C17*C11*5))/(ABS(C17*C11*5)),0)</f>
        <v>2.61492047460936</v>
      </c>
    </row>
    <row r="38" customFormat="false" ht="15" hidden="false" customHeight="true" outlineLevel="0" collapsed="false">
      <c r="B38" s="34" t="s">
        <v>109</v>
      </c>
      <c r="C38" s="34"/>
      <c r="D38" s="34"/>
      <c r="E38" s="34"/>
      <c r="F38" s="34"/>
    </row>
    <row r="39" customFormat="false" ht="27.75" hidden="false" customHeight="true" outlineLevel="0" collapsed="false">
      <c r="B39" s="62" t="s">
        <v>110</v>
      </c>
      <c r="C39" s="62"/>
      <c r="D39" s="62"/>
      <c r="E39" s="62"/>
      <c r="F39" s="62"/>
    </row>
    <row r="40" customFormat="false" ht="27.75" hidden="false" customHeight="true" outlineLevel="0" collapsed="false">
      <c r="B40" s="62" t="s">
        <v>111</v>
      </c>
      <c r="C40" s="62"/>
      <c r="D40" s="62"/>
      <c r="E40" s="62"/>
      <c r="F40" s="62"/>
    </row>
    <row r="41" customFormat="false" ht="27.75" hidden="false" customHeight="true" outlineLevel="0" collapsed="false">
      <c r="B41" s="62" t="s">
        <v>112</v>
      </c>
      <c r="C41" s="62"/>
      <c r="D41" s="62"/>
      <c r="E41" s="62"/>
      <c r="F41" s="62"/>
    </row>
    <row r="42" customFormat="false" ht="27.75" hidden="false" customHeight="true" outlineLevel="0" collapsed="false">
      <c r="B42" s="62" t="s">
        <v>113</v>
      </c>
      <c r="C42" s="62"/>
      <c r="D42" s="62"/>
      <c r="E42" s="62"/>
      <c r="F42" s="62"/>
    </row>
    <row r="43" customFormat="false" ht="27.75" hidden="false" customHeight="true" outlineLevel="0" collapsed="false">
      <c r="B43" s="62" t="s">
        <v>114</v>
      </c>
      <c r="C43" s="62"/>
      <c r="D43" s="62"/>
      <c r="E43" s="62"/>
      <c r="F43" s="62"/>
    </row>
    <row r="44" customFormat="false" ht="27.75" hidden="false" customHeight="true" outlineLevel="0" collapsed="false">
      <c r="B44" s="62" t="s">
        <v>115</v>
      </c>
      <c r="C44" s="62"/>
      <c r="D44" s="62"/>
      <c r="E44" s="62"/>
      <c r="F44" s="62"/>
    </row>
  </sheetData>
  <mergeCells count="12">
    <mergeCell ref="B2:F2"/>
    <mergeCell ref="B3:F3"/>
    <mergeCell ref="B6:F6"/>
    <mergeCell ref="B20:F20"/>
    <mergeCell ref="B32:F32"/>
    <mergeCell ref="B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5" min="3" style="1" width="20"/>
    <col collapsed="false" customWidth="true" hidden="false" outlineLevel="0" max="6" min="6" style="1" width="2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63" t="s">
        <v>116</v>
      </c>
      <c r="C2" s="63"/>
      <c r="D2" s="63"/>
      <c r="E2" s="63"/>
      <c r="F2" s="63"/>
    </row>
    <row r="3" customFormat="false" ht="15.75" hidden="false" customHeight="true" outlineLevel="0" collapsed="false">
      <c r="B3" s="32" t="s">
        <v>60</v>
      </c>
      <c r="C3" s="32"/>
      <c r="D3" s="32"/>
      <c r="E3" s="32"/>
      <c r="F3" s="32"/>
    </row>
    <row r="5" customFormat="false" ht="31.5" hidden="false" customHeight="true" outlineLevel="0" collapsed="false">
      <c r="B5" s="33" t="s">
        <v>61</v>
      </c>
      <c r="C5" s="33" t="s">
        <v>62</v>
      </c>
      <c r="D5" s="33" t="s">
        <v>63</v>
      </c>
      <c r="E5" s="33" t="s">
        <v>64</v>
      </c>
      <c r="F5" s="33" t="s">
        <v>65</v>
      </c>
    </row>
    <row r="6" customFormat="false" ht="15.75" hidden="false" customHeight="true" outlineLevel="0" collapsed="false">
      <c r="B6" s="64" t="s">
        <v>66</v>
      </c>
      <c r="C6" s="64"/>
      <c r="D6" s="64"/>
      <c r="E6" s="64"/>
      <c r="F6" s="64"/>
    </row>
    <row r="7" customFormat="false" ht="15" hidden="false" customHeight="true" outlineLevel="0" collapsed="false">
      <c r="B7" s="35" t="s">
        <v>67</v>
      </c>
      <c r="C7" s="36" t="n">
        <f aca="false">Parametri!C8</f>
        <v>159.090909090909</v>
      </c>
      <c r="D7" s="37"/>
      <c r="E7" s="37"/>
      <c r="F7" s="37"/>
    </row>
    <row r="8" customFormat="false" ht="15" hidden="false" customHeight="true" outlineLevel="0" collapsed="false">
      <c r="B8" s="38" t="s">
        <v>68</v>
      </c>
      <c r="C8" s="39" t="n">
        <f aca="false">Parametri!C13</f>
        <v>25</v>
      </c>
      <c r="D8" s="40"/>
      <c r="E8" s="40"/>
      <c r="F8" s="40"/>
    </row>
    <row r="9" customFormat="false" ht="15" hidden="false" customHeight="true" outlineLevel="0" collapsed="false">
      <c r="B9" s="35" t="s">
        <v>69</v>
      </c>
      <c r="C9" s="41" t="n">
        <f aca="false">Parametri!C14</f>
        <v>10</v>
      </c>
      <c r="D9" s="37"/>
      <c r="E9" s="37"/>
      <c r="F9" s="37"/>
    </row>
    <row r="10" customFormat="false" ht="15" hidden="false" customHeight="true" outlineLevel="0" collapsed="false">
      <c r="B10" s="38" t="s">
        <v>70</v>
      </c>
      <c r="C10" s="39" t="n">
        <f aca="false">Parametri!C15</f>
        <v>15</v>
      </c>
      <c r="D10" s="40"/>
      <c r="E10" s="40"/>
      <c r="F10" s="40"/>
    </row>
    <row r="11" customFormat="false" ht="15" hidden="false" customHeight="true" outlineLevel="0" collapsed="false">
      <c r="B11" s="35" t="s">
        <v>71</v>
      </c>
      <c r="C11" s="41" t="n">
        <f aca="false">Parametri!C18</f>
        <v>20</v>
      </c>
      <c r="D11" s="37"/>
      <c r="E11" s="37"/>
      <c r="F11" s="37"/>
    </row>
    <row r="12" customFormat="false" ht="15" hidden="false" customHeight="true" outlineLevel="0" collapsed="false">
      <c r="B12" s="38" t="s">
        <v>72</v>
      </c>
      <c r="C12" s="39" t="n">
        <f aca="false">Parametri!C22</f>
        <v>90</v>
      </c>
      <c r="D12" s="40"/>
      <c r="E12" s="40"/>
      <c r="F12" s="40"/>
    </row>
    <row r="13" customFormat="false" ht="15" hidden="false" customHeight="true" outlineLevel="0" collapsed="false">
      <c r="B13" s="35" t="s">
        <v>73</v>
      </c>
      <c r="C13" s="42" t="n">
        <f aca="false">Parametri!C23</f>
        <v>0.07</v>
      </c>
      <c r="D13" s="37"/>
      <c r="E13" s="37"/>
      <c r="F13" s="37"/>
    </row>
    <row r="14" customFormat="false" ht="15" hidden="false" customHeight="true" outlineLevel="0" collapsed="false">
      <c r="B14" s="38" t="s">
        <v>74</v>
      </c>
      <c r="C14" s="43" t="n">
        <f aca="false">Parametri!C24</f>
        <v>1</v>
      </c>
      <c r="D14" s="40"/>
      <c r="E14" s="40"/>
      <c r="F14" s="40"/>
    </row>
    <row r="15" customFormat="false" ht="15" hidden="false" customHeight="true" outlineLevel="0" collapsed="false">
      <c r="B15" s="35" t="s">
        <v>75</v>
      </c>
      <c r="C15" s="42" t="n">
        <f aca="false">Parametri!C25</f>
        <v>0.93</v>
      </c>
      <c r="D15" s="37"/>
      <c r="E15" s="37"/>
      <c r="F15" s="37"/>
    </row>
    <row r="16" customFormat="false" ht="15" hidden="false" customHeight="true" outlineLevel="0" collapsed="false">
      <c r="B16" s="38" t="s">
        <v>76</v>
      </c>
      <c r="C16" s="44" t="n">
        <f aca="false">Parametri!C34</f>
        <v>0.75</v>
      </c>
      <c r="D16" s="40"/>
      <c r="E16" s="40"/>
      <c r="F16" s="40"/>
    </row>
    <row r="17" customFormat="false" ht="15" hidden="false" customHeight="true" outlineLevel="0" collapsed="false">
      <c r="B17" s="35" t="s">
        <v>77</v>
      </c>
      <c r="C17" s="45" t="n">
        <f aca="false">Parametri!C31</f>
        <v>1200</v>
      </c>
      <c r="D17" s="37"/>
      <c r="E17" s="37"/>
      <c r="F17" s="37"/>
    </row>
    <row r="18" customFormat="false" ht="15" hidden="false" customHeight="true" outlineLevel="0" collapsed="false">
      <c r="B18" s="38" t="s">
        <v>78</v>
      </c>
      <c r="C18" s="44" t="n">
        <f aca="false">Parametri!C35</f>
        <v>0.025</v>
      </c>
      <c r="D18" s="40"/>
      <c r="E18" s="40"/>
      <c r="F18" s="40"/>
    </row>
    <row r="20" customFormat="false" ht="15.75" hidden="false" customHeight="true" outlineLevel="0" collapsed="false">
      <c r="B20" s="64" t="s">
        <v>79</v>
      </c>
      <c r="C20" s="64"/>
      <c r="D20" s="64"/>
      <c r="E20" s="64"/>
      <c r="F20" s="64"/>
    </row>
    <row r="21" customFormat="false" ht="30" hidden="false" customHeight="true" outlineLevel="0" collapsed="false">
      <c r="B21" s="35" t="s">
        <v>80</v>
      </c>
      <c r="C21" s="46" t="n">
        <f aca="false">C8*C7</f>
        <v>3977.27272727273</v>
      </c>
      <c r="D21" s="46" t="n">
        <f aca="false">MIN(C12,C8)*C7</f>
        <v>3977.27272727273</v>
      </c>
      <c r="E21" s="46" t="n">
        <f aca="false">C21-D21</f>
        <v>0</v>
      </c>
      <c r="F21" s="47" t="s">
        <v>81</v>
      </c>
    </row>
    <row r="22" customFormat="false" ht="30" hidden="false" customHeight="true" outlineLevel="0" collapsed="false">
      <c r="B22" s="38" t="s">
        <v>82</v>
      </c>
      <c r="C22" s="48" t="n">
        <f aca="false">C9*C7</f>
        <v>1590.90909090909</v>
      </c>
      <c r="D22" s="48" t="n">
        <f aca="false">MIN(C12,C9)*C7</f>
        <v>1590.90909090909</v>
      </c>
      <c r="E22" s="48" t="n">
        <f aca="false">C22-D22</f>
        <v>0</v>
      </c>
      <c r="F22" s="49" t="s">
        <v>83</v>
      </c>
    </row>
    <row r="23" customFormat="false" ht="20.25" hidden="false" customHeight="true" outlineLevel="0" collapsed="false">
      <c r="B23" s="35" t="s">
        <v>84</v>
      </c>
      <c r="C23" s="46" t="n">
        <f aca="false">C21-C22</f>
        <v>2386.36363636364</v>
      </c>
      <c r="D23" s="46" t="n">
        <f aca="false">D21-D22</f>
        <v>2386.36363636364</v>
      </c>
      <c r="E23" s="46" t="n">
        <f aca="false">C23-D23</f>
        <v>0</v>
      </c>
      <c r="F23" s="47" t="s">
        <v>85</v>
      </c>
    </row>
    <row r="24" customFormat="false" ht="15" hidden="false" customHeight="true" outlineLevel="0" collapsed="false">
      <c r="B24" s="38" t="s">
        <v>86</v>
      </c>
      <c r="C24" s="48" t="n">
        <f aca="false">C23*C16</f>
        <v>1789.77272727273</v>
      </c>
      <c r="D24" s="48" t="n">
        <f aca="false">D23*C16</f>
        <v>1789.77272727273</v>
      </c>
      <c r="E24" s="48" t="n">
        <f aca="false">C24-D24</f>
        <v>0</v>
      </c>
      <c r="F24" s="49" t="s">
        <v>87</v>
      </c>
    </row>
    <row r="25" customFormat="false" ht="20.25" hidden="false" customHeight="true" outlineLevel="0" collapsed="false">
      <c r="B25" s="35" t="s">
        <v>88</v>
      </c>
      <c r="C25" s="46" t="n">
        <f aca="false">C24</f>
        <v>1789.77272727273</v>
      </c>
      <c r="D25" s="46" t="n">
        <f aca="false">D24*C14</f>
        <v>1789.77272727273</v>
      </c>
      <c r="E25" s="46" t="n">
        <f aca="false">C25-D25</f>
        <v>0</v>
      </c>
      <c r="F25" s="47" t="s">
        <v>89</v>
      </c>
    </row>
    <row r="26" customFormat="false" ht="20.25" hidden="false" customHeight="true" outlineLevel="0" collapsed="false">
      <c r="B26" s="38" t="s">
        <v>90</v>
      </c>
      <c r="C26" s="48" t="n">
        <f aca="false">C25*(1-C13)</f>
        <v>1664.48863636364</v>
      </c>
      <c r="D26" s="48" t="n">
        <f aca="false">D25</f>
        <v>1789.77272727273</v>
      </c>
      <c r="E26" s="48" t="n">
        <f aca="false">C26-D26</f>
        <v>-125.284090909091</v>
      </c>
      <c r="F26" s="49" t="s">
        <v>91</v>
      </c>
    </row>
    <row r="27" customFormat="false" ht="20.25" hidden="false" customHeight="true" outlineLevel="0" collapsed="false">
      <c r="B27" s="35" t="s">
        <v>92</v>
      </c>
      <c r="C27" s="46" t="n">
        <f aca="false">C26</f>
        <v>1664.48863636364</v>
      </c>
      <c r="D27" s="46" t="n">
        <f aca="false">D26</f>
        <v>1789.77272727273</v>
      </c>
      <c r="E27" s="46" t="n">
        <f aca="false">C27-D27</f>
        <v>-125.284090909091</v>
      </c>
      <c r="F27" s="47" t="s">
        <v>93</v>
      </c>
    </row>
    <row r="28" customFormat="false" ht="15" hidden="false" customHeight="true" outlineLevel="0" collapsed="false">
      <c r="B28" s="38" t="s">
        <v>94</v>
      </c>
      <c r="C28" s="48" t="n">
        <f aca="false">C27*C11</f>
        <v>33289.7727272727</v>
      </c>
      <c r="D28" s="48" t="n">
        <f aca="false">D27*C11</f>
        <v>35795.4545454546</v>
      </c>
      <c r="E28" s="48" t="n">
        <f aca="false">C28-D28</f>
        <v>-2505.68181818182</v>
      </c>
      <c r="F28" s="49" t="s">
        <v>95</v>
      </c>
    </row>
    <row r="29" customFormat="false" ht="15" hidden="false" customHeight="true" outlineLevel="0" collapsed="false">
      <c r="B29" s="35" t="s">
        <v>96</v>
      </c>
      <c r="C29" s="46" t="n">
        <f aca="false">C17*C11</f>
        <v>24000</v>
      </c>
      <c r="D29" s="46" t="n">
        <f aca="false">C17*C11</f>
        <v>24000</v>
      </c>
      <c r="E29" s="46" t="n">
        <f aca="false">C29-D29</f>
        <v>0</v>
      </c>
      <c r="F29" s="47" t="s">
        <v>97</v>
      </c>
    </row>
    <row r="30" customFormat="false" ht="20.25" hidden="false" customHeight="true" outlineLevel="0" collapsed="false">
      <c r="B30" s="50" t="s">
        <v>98</v>
      </c>
      <c r="C30" s="51" t="n">
        <f aca="false">C28-C29</f>
        <v>9289.77272727273</v>
      </c>
      <c r="D30" s="51" t="n">
        <f aca="false">D28-D29</f>
        <v>11795.4545454546</v>
      </c>
      <c r="E30" s="51" t="n">
        <f aca="false">C30-D30</f>
        <v>-2505.68181818182</v>
      </c>
      <c r="F30" s="52" t="s">
        <v>99</v>
      </c>
    </row>
    <row r="32" customFormat="false" ht="15.75" hidden="false" customHeight="true" outlineLevel="0" collapsed="false">
      <c r="B32" s="64" t="s">
        <v>100</v>
      </c>
      <c r="C32" s="64"/>
      <c r="D32" s="64"/>
      <c r="E32" s="64"/>
      <c r="F32" s="64"/>
    </row>
    <row r="33" customFormat="false" ht="27.75" hidden="false" customHeight="true" outlineLevel="0" collapsed="false">
      <c r="B33" s="33" t="s">
        <v>101</v>
      </c>
      <c r="C33" s="33" t="s">
        <v>102</v>
      </c>
      <c r="D33" s="33" t="s">
        <v>103</v>
      </c>
      <c r="E33" s="33" t="s">
        <v>104</v>
      </c>
      <c r="F33" s="33" t="s">
        <v>105</v>
      </c>
    </row>
    <row r="34" customFormat="false" ht="15" hidden="false" customHeight="true" outlineLevel="0" collapsed="false">
      <c r="B34" s="53" t="s">
        <v>106</v>
      </c>
      <c r="C34" s="54" t="n">
        <f aca="false">C30</f>
        <v>9289.77272727273</v>
      </c>
      <c r="D34" s="54" t="n">
        <f aca="false">D30</f>
        <v>11795.4545454546</v>
      </c>
      <c r="E34" s="54" t="n">
        <f aca="false">C34-D34</f>
        <v>-2505.68181818182</v>
      </c>
      <c r="F34" s="55" t="n">
        <f aca="false">IFERROR((C34-C29)/ABS(C29),0)</f>
        <v>-0.612926136363636</v>
      </c>
    </row>
    <row r="35" customFormat="false" ht="15" hidden="false" customHeight="true" outlineLevel="0" collapsed="false">
      <c r="B35" s="56" t="s">
        <v>107</v>
      </c>
      <c r="C35" s="57" t="n">
        <f aca="false">C30*(((1+C18)^3-1)/C18)</f>
        <v>28571.8572443181</v>
      </c>
      <c r="D35" s="57" t="n">
        <f aca="false">D30*(((1+C18)^3-1)/C18)</f>
        <v>36278.3948863635</v>
      </c>
      <c r="E35" s="57" t="n">
        <f aca="false">C35-D35</f>
        <v>-7706.53764204544</v>
      </c>
      <c r="F35" s="58" t="n">
        <f aca="false">IFERROR((C35-(C17*C11*3))/(ABS(C17*C11*3)),0)</f>
        <v>-0.603168649384471</v>
      </c>
    </row>
    <row r="36" customFormat="false" ht="15" hidden="false" customHeight="true" outlineLevel="0" collapsed="false">
      <c r="B36" s="59" t="s">
        <v>108</v>
      </c>
      <c r="C36" s="60" t="n">
        <f aca="false">C30*(((1+C18)^5-1)/C18)</f>
        <v>48830.0972900389</v>
      </c>
      <c r="D36" s="60" t="n">
        <f aca="false">D30*(((1+C18)^5-1)/C18)</f>
        <v>62000.784082031</v>
      </c>
      <c r="E36" s="60" t="n">
        <f aca="false">C36-D36</f>
        <v>-13170.6867919922</v>
      </c>
      <c r="F36" s="61" t="n">
        <f aca="false">IFERROR((C36-(C17*C11*5))/(ABS(C17*C11*5)),0)</f>
        <v>-0.59308252258301</v>
      </c>
    </row>
    <row r="38" customFormat="false" ht="15" hidden="false" customHeight="true" outlineLevel="0" collapsed="false">
      <c r="B38" s="34" t="s">
        <v>109</v>
      </c>
      <c r="C38" s="34"/>
      <c r="D38" s="34"/>
      <c r="E38" s="34"/>
      <c r="F38" s="34"/>
    </row>
    <row r="39" customFormat="false" ht="27.75" hidden="false" customHeight="true" outlineLevel="0" collapsed="false">
      <c r="B39" s="62" t="s">
        <v>110</v>
      </c>
      <c r="C39" s="62"/>
      <c r="D39" s="62"/>
      <c r="E39" s="62"/>
      <c r="F39" s="62"/>
    </row>
    <row r="40" customFormat="false" ht="27.75" hidden="false" customHeight="true" outlineLevel="0" collapsed="false">
      <c r="B40" s="62" t="s">
        <v>111</v>
      </c>
      <c r="C40" s="62"/>
      <c r="D40" s="62"/>
      <c r="E40" s="62"/>
      <c r="F40" s="62"/>
    </row>
    <row r="41" customFormat="false" ht="27.75" hidden="false" customHeight="true" outlineLevel="0" collapsed="false">
      <c r="B41" s="62" t="s">
        <v>112</v>
      </c>
      <c r="C41" s="62"/>
      <c r="D41" s="62"/>
      <c r="E41" s="62"/>
      <c r="F41" s="62"/>
    </row>
    <row r="42" customFormat="false" ht="27.75" hidden="false" customHeight="true" outlineLevel="0" collapsed="false">
      <c r="B42" s="62" t="s">
        <v>113</v>
      </c>
      <c r="C42" s="62"/>
      <c r="D42" s="62"/>
      <c r="E42" s="62"/>
      <c r="F42" s="62"/>
    </row>
    <row r="43" customFormat="false" ht="27.75" hidden="false" customHeight="true" outlineLevel="0" collapsed="false">
      <c r="B43" s="62" t="s">
        <v>114</v>
      </c>
      <c r="C43" s="62"/>
      <c r="D43" s="62"/>
      <c r="E43" s="62"/>
      <c r="F43" s="62"/>
    </row>
    <row r="44" customFormat="false" ht="27.75" hidden="false" customHeight="true" outlineLevel="0" collapsed="false">
      <c r="B44" s="62" t="s">
        <v>115</v>
      </c>
      <c r="C44" s="62"/>
      <c r="D44" s="62"/>
      <c r="E44" s="62"/>
      <c r="F44" s="62"/>
    </row>
  </sheetData>
  <mergeCells count="12">
    <mergeCell ref="B2:F2"/>
    <mergeCell ref="B3:F3"/>
    <mergeCell ref="B6:F6"/>
    <mergeCell ref="B20:F20"/>
    <mergeCell ref="B32:F32"/>
    <mergeCell ref="B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8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31" t="s">
        <v>117</v>
      </c>
      <c r="C2" s="31"/>
      <c r="D2" s="31"/>
      <c r="E2" s="31"/>
      <c r="F2" s="31"/>
      <c r="G2" s="31"/>
    </row>
    <row r="3" customFormat="false" ht="15.75" hidden="false" customHeight="true" outlineLevel="0" collapsed="false">
      <c r="B3" s="32" t="s">
        <v>118</v>
      </c>
      <c r="C3" s="32"/>
      <c r="D3" s="32"/>
      <c r="E3" s="32"/>
      <c r="F3" s="32"/>
      <c r="G3" s="32"/>
    </row>
    <row r="5" customFormat="false" ht="31.5" hidden="false" customHeight="true" outlineLevel="0" collapsed="false">
      <c r="B5" s="33" t="s">
        <v>119</v>
      </c>
      <c r="C5" s="33" t="s">
        <v>120</v>
      </c>
      <c r="D5" s="33" t="s">
        <v>121</v>
      </c>
      <c r="E5" s="33" t="s">
        <v>122</v>
      </c>
      <c r="F5" s="33" t="s">
        <v>123</v>
      </c>
      <c r="G5" s="33" t="s">
        <v>124</v>
      </c>
    </row>
    <row r="6" customFormat="false" ht="15" hidden="false" customHeight="true" outlineLevel="0" collapsed="false">
      <c r="B6" s="65" t="s">
        <v>125</v>
      </c>
      <c r="C6" s="66" t="n">
        <f aca="false">iCBT!C30</f>
        <v>20631.8181818182</v>
      </c>
      <c r="D6" s="66" t="n">
        <f aca="false">iCBT!D30</f>
        <v>22636.3636363636</v>
      </c>
      <c r="E6" s="66" t="n">
        <f aca="false">'Collaborative Care'!C30</f>
        <v>9289.77272727273</v>
      </c>
      <c r="F6" s="66" t="n">
        <f aca="false">'Collaborative Care'!D30</f>
        <v>11795.4545454546</v>
      </c>
      <c r="G6" s="67" t="n">
        <f aca="false">C6-E6</f>
        <v>11342.0454545455</v>
      </c>
    </row>
    <row r="7" customFormat="false" ht="15" hidden="false" customHeight="true" outlineLevel="0" collapsed="false">
      <c r="B7" s="68" t="s">
        <v>126</v>
      </c>
      <c r="C7" s="69" t="n">
        <f aca="false">iCBT!C29</f>
        <v>6000</v>
      </c>
      <c r="D7" s="69" t="n">
        <f aca="false">iCBT!D29</f>
        <v>6000</v>
      </c>
      <c r="E7" s="69" t="n">
        <f aca="false">'Collaborative Care'!C29</f>
        <v>24000</v>
      </c>
      <c r="F7" s="69" t="n">
        <f aca="false">'Collaborative Care'!D29</f>
        <v>24000</v>
      </c>
      <c r="G7" s="70" t="n">
        <f aca="false">C7-E7</f>
        <v>-18000</v>
      </c>
    </row>
    <row r="8" customFormat="false" ht="15" hidden="false" customHeight="true" outlineLevel="0" collapsed="false">
      <c r="B8" s="71" t="s">
        <v>127</v>
      </c>
      <c r="C8" s="72" t="n">
        <f aca="false">iCBT!C35</f>
        <v>63455.7357954543</v>
      </c>
      <c r="D8" s="72" t="n">
        <f aca="false">iCBT!D35</f>
        <v>69620.9659090906</v>
      </c>
      <c r="E8" s="72" t="n">
        <f aca="false">'Collaborative Care'!C35</f>
        <v>28571.8572443181</v>
      </c>
      <c r="F8" s="72" t="n">
        <f aca="false">'Collaborative Care'!D35</f>
        <v>36278.3948863635</v>
      </c>
      <c r="G8" s="73" t="n">
        <f aca="false">C8-E8</f>
        <v>34883.8785511362</v>
      </c>
    </row>
    <row r="9" customFormat="false" ht="15" hidden="false" customHeight="true" outlineLevel="0" collapsed="false">
      <c r="B9" s="74" t="s">
        <v>128</v>
      </c>
      <c r="C9" s="75" t="n">
        <f aca="false">iCBT!C36</f>
        <v>108447.614238281</v>
      </c>
      <c r="D9" s="75" t="n">
        <f aca="false">iCBT!D36</f>
        <v>118984.163671874</v>
      </c>
      <c r="E9" s="75" t="n">
        <f aca="false">'Collaborative Care'!C36</f>
        <v>48830.0972900389</v>
      </c>
      <c r="F9" s="75" t="n">
        <f aca="false">'Collaborative Care'!D36</f>
        <v>62000.784082031</v>
      </c>
      <c r="G9" s="60" t="n">
        <f aca="false">C9-E9</f>
        <v>59617.5169482419</v>
      </c>
    </row>
    <row r="10" customFormat="false" ht="15" hidden="false" customHeight="true" outlineLevel="0" collapsed="false">
      <c r="B10" s="65" t="s">
        <v>129</v>
      </c>
      <c r="C10" s="76" t="n">
        <f aca="false">iCBT!F34</f>
        <v>2.43863636363636</v>
      </c>
      <c r="D10" s="77" t="s">
        <v>130</v>
      </c>
      <c r="E10" s="76" t="n">
        <f aca="false">'Collaborative Care'!F34</f>
        <v>-0.612926136363636</v>
      </c>
      <c r="F10" s="77" t="s">
        <v>130</v>
      </c>
      <c r="G10" s="77" t="n">
        <f aca="false">IFERROR(C10-E10,"N/D")</f>
        <v>3.0515625</v>
      </c>
    </row>
    <row r="11" customFormat="false" ht="15" hidden="false" customHeight="true" outlineLevel="0" collapsed="false">
      <c r="B11" s="71" t="s">
        <v>131</v>
      </c>
      <c r="C11" s="78" t="n">
        <f aca="false">iCBT!F35</f>
        <v>2.52531865530301</v>
      </c>
      <c r="D11" s="79" t="s">
        <v>130</v>
      </c>
      <c r="E11" s="78" t="n">
        <f aca="false">'Collaborative Care'!F35</f>
        <v>-0.603168649384471</v>
      </c>
      <c r="F11" s="79" t="s">
        <v>130</v>
      </c>
      <c r="G11" s="79" t="n">
        <f aca="false">IFERROR(C11-E11,"N/D")</f>
        <v>3.12848730468749</v>
      </c>
    </row>
    <row r="12" customFormat="false" ht="15" hidden="false" customHeight="true" outlineLevel="0" collapsed="false">
      <c r="B12" s="74" t="s">
        <v>132</v>
      </c>
      <c r="C12" s="80" t="n">
        <f aca="false">iCBT!F36</f>
        <v>2.61492047460936</v>
      </c>
      <c r="D12" s="81" t="s">
        <v>130</v>
      </c>
      <c r="E12" s="80" t="n">
        <f aca="false">'Collaborative Care'!F36</f>
        <v>-0.59308252258301</v>
      </c>
      <c r="F12" s="81" t="s">
        <v>130</v>
      </c>
      <c r="G12" s="61" t="n">
        <f aca="false">IFERROR(C12-E12,"N/D")</f>
        <v>3.20800299719237</v>
      </c>
    </row>
    <row r="15" customFormat="false" ht="18" hidden="false" customHeight="true" outlineLevel="0" collapsed="false">
      <c r="B15" s="82" t="s">
        <v>133</v>
      </c>
      <c r="C15" s="82"/>
      <c r="D15" s="82"/>
      <c r="E15" s="82"/>
      <c r="F15" s="82"/>
      <c r="G15" s="82"/>
    </row>
    <row r="16" customFormat="false" ht="27.75" hidden="false" customHeight="true" outlineLevel="0" collapsed="false">
      <c r="B16" s="33" t="s">
        <v>73</v>
      </c>
      <c r="C16" s="33" t="s">
        <v>134</v>
      </c>
      <c r="D16" s="33" t="s">
        <v>135</v>
      </c>
      <c r="E16" s="33" t="s">
        <v>136</v>
      </c>
      <c r="F16" s="33" t="s">
        <v>137</v>
      </c>
      <c r="G16" s="33" t="s">
        <v>138</v>
      </c>
    </row>
    <row r="17" customFormat="false" ht="15" hidden="false" customHeight="true" outlineLevel="0" collapsed="false">
      <c r="B17" s="83" t="n">
        <v>0</v>
      </c>
      <c r="C17" s="84" t="n">
        <f aca="false">1-B17</f>
        <v>1</v>
      </c>
      <c r="D17" s="85" t="n">
        <f aca="false">(Parametri!C13-Parametri!C14)*Parametri!C8*Parametri!C33*(1-B17)</f>
        <v>1431.81818181818</v>
      </c>
      <c r="E17" s="86" t="n">
        <f aca="false">D17*Parametri!C18-Parametri!C30*Parametri!C18</f>
        <v>22636.3636363636</v>
      </c>
      <c r="F17" s="87" t="n">
        <f aca="false">iCBT!D30</f>
        <v>22636.3636363636</v>
      </c>
      <c r="G17" s="88" t="n">
        <f aca="false">IFERROR((E17-F17)/ABS(F17),0)</f>
        <v>0</v>
      </c>
    </row>
    <row r="18" customFormat="false" ht="15" hidden="false" customHeight="true" outlineLevel="0" collapsed="false">
      <c r="B18" s="89" t="n">
        <v>0.03</v>
      </c>
      <c r="C18" s="90" t="n">
        <f aca="false">1-B18</f>
        <v>0.97</v>
      </c>
      <c r="D18" s="91" t="n">
        <f aca="false">(Parametri!C13-Parametri!C14)*Parametri!C8*Parametri!C33*(1-B18)</f>
        <v>1388.86363636364</v>
      </c>
      <c r="E18" s="92" t="n">
        <f aca="false">D18*Parametri!C18-Parametri!C30*Parametri!C18</f>
        <v>21777.2727272727</v>
      </c>
      <c r="F18" s="93" t="n">
        <f aca="false">iCBT!D30</f>
        <v>22636.3636363636</v>
      </c>
      <c r="G18" s="94" t="n">
        <f aca="false">IFERROR((E18-F18)/ABS(F18),0)</f>
        <v>-0.0379518072289158</v>
      </c>
    </row>
    <row r="19" customFormat="false" ht="15" hidden="false" customHeight="true" outlineLevel="0" collapsed="false">
      <c r="B19" s="83" t="n">
        <v>0.05</v>
      </c>
      <c r="C19" s="84" t="n">
        <f aca="false">1-B19</f>
        <v>0.95</v>
      </c>
      <c r="D19" s="85" t="n">
        <f aca="false">(Parametri!C13-Parametri!C14)*Parametri!C8*Parametri!C33*(1-B19)</f>
        <v>1360.22727272727</v>
      </c>
      <c r="E19" s="86" t="n">
        <f aca="false">D19*Parametri!C18-Parametri!C30*Parametri!C18</f>
        <v>21204.5454545455</v>
      </c>
      <c r="F19" s="87" t="n">
        <f aca="false">iCBT!D30</f>
        <v>22636.3636363636</v>
      </c>
      <c r="G19" s="88" t="n">
        <f aca="false">IFERROR((E19-F19)/ABS(F19),0)</f>
        <v>-0.063253012048193</v>
      </c>
    </row>
    <row r="20" customFormat="false" ht="15" hidden="false" customHeight="true" outlineLevel="0" collapsed="false">
      <c r="B20" s="95" t="n">
        <v>0.07</v>
      </c>
      <c r="C20" s="96" t="n">
        <f aca="false">1-B20</f>
        <v>0.93</v>
      </c>
      <c r="D20" s="97" t="n">
        <f aca="false">(Parametri!C13-Parametri!C14)*Parametri!C8*Parametri!C33*(1-B20)</f>
        <v>1331.59090909091</v>
      </c>
      <c r="E20" s="98" t="n">
        <f aca="false">D20*Parametri!C18-Parametri!C30*Parametri!C18</f>
        <v>20631.8181818182</v>
      </c>
      <c r="F20" s="99" t="n">
        <f aca="false">iCBT!D30</f>
        <v>22636.3636363636</v>
      </c>
      <c r="G20" s="100" t="n">
        <f aca="false">IFERROR((E20-F20)/ABS(F20),0)</f>
        <v>-0.0885542168674699</v>
      </c>
    </row>
    <row r="21" customFormat="false" ht="15" hidden="false" customHeight="true" outlineLevel="0" collapsed="false">
      <c r="B21" s="83" t="n">
        <v>0.1</v>
      </c>
      <c r="C21" s="84" t="n">
        <f aca="false">1-B21</f>
        <v>0.9</v>
      </c>
      <c r="D21" s="85" t="n">
        <f aca="false">(Parametri!C13-Parametri!C14)*Parametri!C8*Parametri!C33*(1-B21)</f>
        <v>1288.63636363636</v>
      </c>
      <c r="E21" s="86" t="n">
        <f aca="false">D21*Parametri!C18-Parametri!C30*Parametri!C18</f>
        <v>19772.7272727273</v>
      </c>
      <c r="F21" s="87" t="n">
        <f aca="false">iCBT!D30</f>
        <v>22636.3636363636</v>
      </c>
      <c r="G21" s="88" t="n">
        <f aca="false">IFERROR((E21-F21)/ABS(F21),0)</f>
        <v>-0.126506024096386</v>
      </c>
    </row>
    <row r="22" customFormat="false" ht="15" hidden="false" customHeight="true" outlineLevel="0" collapsed="false">
      <c r="B22" s="89" t="n">
        <v>0.12</v>
      </c>
      <c r="C22" s="90" t="n">
        <f aca="false">1-B22</f>
        <v>0.88</v>
      </c>
      <c r="D22" s="91" t="n">
        <f aca="false">(Parametri!C13-Parametri!C14)*Parametri!C8*Parametri!C33*(1-B22)</f>
        <v>1260</v>
      </c>
      <c r="E22" s="92" t="n">
        <f aca="false">D22*Parametri!C18-Parametri!C30*Parametri!C18</f>
        <v>19200</v>
      </c>
      <c r="F22" s="93" t="n">
        <f aca="false">iCBT!D30</f>
        <v>22636.3636363636</v>
      </c>
      <c r="G22" s="94" t="n">
        <f aca="false">IFERROR((E22-F22)/ABS(F22),0)</f>
        <v>-0.151807228915663</v>
      </c>
    </row>
    <row r="23" customFormat="false" ht="15" hidden="false" customHeight="true" outlineLevel="0" collapsed="false">
      <c r="B23" s="83" t="n">
        <v>0.15</v>
      </c>
      <c r="C23" s="84" t="n">
        <f aca="false">1-B23</f>
        <v>0.85</v>
      </c>
      <c r="D23" s="85" t="n">
        <f aca="false">(Parametri!C13-Parametri!C14)*Parametri!C8*Parametri!C33*(1-B23)</f>
        <v>1217.04545454545</v>
      </c>
      <c r="E23" s="86" t="n">
        <f aca="false">D23*Parametri!C18-Parametri!C30*Parametri!C18</f>
        <v>18340.9090909091</v>
      </c>
      <c r="F23" s="87" t="n">
        <f aca="false">iCBT!D30</f>
        <v>22636.3636363636</v>
      </c>
      <c r="G23" s="88" t="n">
        <f aca="false">IFERROR((E23-F23)/ABS(F23),0)</f>
        <v>-0.189759036144578</v>
      </c>
    </row>
    <row r="24" customFormat="false" ht="15" hidden="false" customHeight="true" outlineLevel="0" collapsed="false">
      <c r="B24" s="89" t="n">
        <v>0.2</v>
      </c>
      <c r="C24" s="90" t="n">
        <f aca="false">1-B24</f>
        <v>0.8</v>
      </c>
      <c r="D24" s="91" t="n">
        <f aca="false">(Parametri!C13-Parametri!C14)*Parametri!C8*Parametri!C33*(1-B24)</f>
        <v>1145.45454545455</v>
      </c>
      <c r="E24" s="92" t="n">
        <f aca="false">D24*Parametri!C18-Parametri!C30*Parametri!C18</f>
        <v>16909.0909090909</v>
      </c>
      <c r="F24" s="93" t="n">
        <f aca="false">iCBT!D30</f>
        <v>22636.3636363636</v>
      </c>
      <c r="G24" s="94" t="n">
        <f aca="false">IFERROR((E24-F24)/ABS(F24),0)</f>
        <v>-0.253012048192771</v>
      </c>
    </row>
    <row r="26" customFormat="false" ht="24" hidden="false" customHeight="true" outlineLevel="0" collapsed="false">
      <c r="B26" s="101" t="s">
        <v>139</v>
      </c>
      <c r="C26" s="101"/>
      <c r="D26" s="101"/>
      <c r="E26" s="101"/>
      <c r="F26" s="101"/>
      <c r="G26" s="101"/>
    </row>
  </sheetData>
  <mergeCells count="4">
    <mergeCell ref="B2:G2"/>
    <mergeCell ref="B3:G3"/>
    <mergeCell ref="B15:G1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2026-06-26T22:02:17Z</dcterms:created>
  <dc:creator>openpyxl</dc:creator>
  <dc:description/>
  <dc:language>en-US</dc:language>
  <cp:lastModifiedBy/>
  <dcterms:modified xsi:type="dcterms:W3CDTF">2026-06-26T22:05:44Z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